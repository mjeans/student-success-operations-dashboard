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10.xml" ContentType="application/vnd.openxmlformats-officedocument.spreadsheetml.worksheet+xml"/>
  <Override PartName="/xl/drawings/drawing3.xml" ContentType="application/vnd.openxmlformats-officedocument.drawing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dbbeb8020a4c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Dashboard" sheetId="1" r:id="R1068d3ecb45d421a"/>
    <x:sheet xmlns:r="http://schemas.openxmlformats.org/officeDocument/2006/relationships" name="Monthly Trend" sheetId="2" r:id="Re983e1a4a4d9414c"/>
    <x:sheet xmlns:r="http://schemas.openxmlformats.org/officeDocument/2006/relationships" name="District Performance" sheetId="3" r:id="Rfb83d934c9fe4a3a"/>
    <x:sheet xmlns:r="http://schemas.openxmlformats.org/officeDocument/2006/relationships" name="School Risk" sheetId="4" r:id="R98d925c007ef48a4"/>
    <x:sheet xmlns:r="http://schemas.openxmlformats.org/officeDocument/2006/relationships" name="Segment Outcomes" sheetId="5" r:id="R5a6367c81144407c"/>
    <x:sheet xmlns:r="http://schemas.openxmlformats.org/officeDocument/2006/relationships" name="Data Quality" sheetId="6" r:id="R989aacdb8fd647ce"/>
    <x:sheet xmlns:r="http://schemas.openxmlformats.org/officeDocument/2006/relationships" name="KPI Data" sheetId="7" r:id="Re637b8e29c6d4f53"/>
    <x:sheet xmlns:r="http://schemas.openxmlformats.org/officeDocument/2006/relationships" name="Metric Dictionary" sheetId="8" r:id="Rfa64303f41d94279"/>
    <x:sheet xmlns:r="http://schemas.openxmlformats.org/officeDocument/2006/relationships" name="Implementation Monitor" sheetId="9" r:id="R1bd0aab932c645d9"/>
    <x:sheet xmlns:r="http://schemas.openxmlformats.org/officeDocument/2006/relationships" name="Outcomes and Participation" sheetId="10" r:id="Rec619abe876041fc"/>
  </x:sheets>
</x:workbook>
</file>

<file path=xl/comments1.xml><?xml version="1.0" encoding="utf-8"?>
<x:comments xmlns:x="http://schemas.openxmlformats.org/spreadsheetml/2006/main">
  <x:authors>
    <x:author>tc={8E49463F-12F1-2B74-C965-F31240E030D1}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Synthetic education-operations portfolio. KPI values reconcile to outputs/02_dashboard_kpis.csv.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"/>
    <x:numFmt numFmtId="201" formatCode="0.0%"/>
    <x:numFmt numFmtId="202" formatCode="+0.00;-0.00;0.00"/>
    <x:numFmt numFmtId="203" formatCode="0"/>
    <x:numFmt numFmtId="204" formatCode="0.0"/>
    <x:numFmt numFmtId="205" formatCode="0.00"/>
  </x:numFmts>
  <x:fonts count="14">
    <x:font>
      <x:sz val="11"/>
      <x:name val="Carlito"/>
    </x:font>
    <x:font>
      <x:b/>
      <x:sz val="18"/>
      <x:color rgb="FFFFFFFF"/>
      <x:name val="Carlito"/>
    </x:font>
    <x:font>
      <x:sz val="10"/>
      <x:color rgb="FFFFFFFF"/>
      <x:name val="Carlito"/>
    </x:font>
    <x:font>
      <x:b/>
      <x:sz val="10"/>
      <x:color rgb="FF52636B"/>
      <x:name val="Carlito"/>
    </x:font>
    <x:font>
      <x:b/>
      <x:sz val="24"/>
      <x:color rgb="FF147D92"/>
      <x:name val="Carlito"/>
    </x:font>
    <x:font>
      <x:sz val="9"/>
      <x:color rgb="FF52636B"/>
      <x:name val="Carlito"/>
    </x:font>
    <x:font>
      <x:b/>
      <x:sz val="24"/>
      <x:color rgb="FF3A8D5D"/>
      <x:name val="Carlito"/>
    </x:font>
    <x:font>
      <x:b/>
      <x:sz val="24"/>
      <x:color rgb="FFD65A4A"/>
      <x:name val="Carlito"/>
    </x:font>
    <x:font>
      <x:b/>
      <x:sz val="9"/>
      <x:color rgb="FF183642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sz val="9"/>
      <x:color rgb="FF183642"/>
      <x:name val="Carlito"/>
    </x:font>
    <x:font>
      <x:sz val="10"/>
      <x:color rgb="FF183642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F5F7F8"/>
      </x:patternFill>
    </x:fill>
    <x:fill>
      <x:patternFill patternType="solid">
        <x:fgColor rgb="FF183642"/>
      </x:patternFill>
    </x:fill>
    <x:fill>
      <x:patternFill patternType="solid">
        <x:fgColor rgb="FF147D92"/>
      </x:patternFill>
    </x:fill>
    <x:fill>
      <x:patternFill patternType="solid">
        <x:fgColor rgb="FFFFFFFF"/>
      </x:patternFill>
    </x:fill>
    <x:fill>
      <x:patternFill patternType="solid">
        <x:fgColor rgb="FFFFF0DE"/>
      </x:patternFill>
    </x:fill>
    <x:fill>
      <x:patternFill patternType="solid">
        <x:fgColor rgb="FFDDEFF1"/>
      </x:patternFill>
    </x:fill>
    <x:fill>
      <x:patternFill patternType="solid">
        <x:fgColor rgb="FFF9FBFB"/>
      </x:patternFill>
    </x:fill>
  </x:fills>
  <x:borders count="18">
    <x:border/>
    <x:border>
      <x:left style="thin">
        <x:color rgb="FFD8E2E5"/>
      </x:left>
      <x:top style="medium">
        <x:color rgb="FF147D92"/>
      </x:top>
    </x:border>
    <x:border>
      <x:top style="medium">
        <x:color rgb="FF147D92"/>
      </x:top>
    </x:border>
    <x:border>
      <x:right style="thin">
        <x:color rgb="FFD8E2E5"/>
      </x:right>
      <x:top style="medium">
        <x:color rgb="FF147D92"/>
      </x:top>
    </x:border>
    <x:border>
      <x:left style="thin">
        <x:color rgb="FFD8E2E5"/>
      </x:left>
    </x:border>
    <x:border>
      <x:right style="thin">
        <x:color rgb="FFD8E2E5"/>
      </x:right>
    </x:border>
    <x:border>
      <x:left style="thin">
        <x:color rgb="FFD8E2E5"/>
      </x:left>
      <x:bottom style="thin">
        <x:color rgb="FFD8E2E5"/>
      </x:bottom>
    </x:border>
    <x:border>
      <x:bottom style="thin">
        <x:color rgb="FFD8E2E5"/>
      </x:bottom>
    </x:border>
    <x:border>
      <x:right style="thin">
        <x:color rgb="FFD8E2E5"/>
      </x:right>
      <x:bottom style="thin">
        <x:color rgb="FFD8E2E5"/>
      </x:bottom>
    </x:border>
    <x:border>
      <x:left style="thin">
        <x:color rgb="FFD8E2E5"/>
      </x:left>
      <x:top style="medium">
        <x:color rgb="FF3A8D5D"/>
      </x:top>
    </x:border>
    <x:border>
      <x:top style="medium">
        <x:color rgb="FF3A8D5D"/>
      </x:top>
    </x:border>
    <x:border>
      <x:right style="thin">
        <x:color rgb="FFD8E2E5"/>
      </x:right>
      <x:top style="medium">
        <x:color rgb="FF3A8D5D"/>
      </x:top>
    </x:border>
    <x:border>
      <x:left style="thin">
        <x:color rgb="FFD8E2E5"/>
      </x:left>
      <x:top style="medium">
        <x:color rgb="FFD65A4A"/>
      </x:top>
    </x:border>
    <x:border>
      <x:top style="medium">
        <x:color rgb="FFD65A4A"/>
      </x:top>
    </x:border>
    <x:border>
      <x:right style="thin">
        <x:color rgb="FFD8E2E5"/>
      </x:right>
      <x:top style="medium">
        <x:color rgb="FFD65A4A"/>
      </x:top>
    </x:border>
    <x:border>
      <x:left style="thin">
        <x:color rgb="FFF2A65A"/>
      </x:left>
      <x:right style="thin">
        <x:color rgb="FFF2A65A"/>
      </x:right>
      <x:top style="thin">
        <x:color rgb="FFF2A65A"/>
      </x:top>
      <x:bottom style="thin">
        <x:color rgb="FFF2A65A"/>
      </x:bottom>
    </x:border>
    <x:border>
      <x:top style="thin">
        <x:color rgb="FFD8E2E5"/>
      </x:top>
      <x:bottom style="thin">
        <x:color rgb="FFD8E2E5"/>
      </x:bottom>
    </x:border>
    <x:border>
      <x:top style="thin">
        <x:color rgb="FFD8E2E5"/>
      </x:top>
    </x:border>
  </x:borders>
  <x:cellStyleXfs count="1">
    <x:xf numFmtId="0" fontId="0" fillId="0" borderId="0"/>
  </x:cellStyleXfs>
  <x:cellXfs count="111">
    <x:xf numFmtId="0" fontId="0" fillId="0" borderId="0" xfId="0"/>
    <x:xf numFmtId="0" fontId="0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4" fillId="5" borderId="0" xfId="0" applyNumberFormat="1" applyFont="1" applyFill="1" applyBorder="1"/>
    <x:xf numFmtId="200" fontId="4" fillId="5" borderId="0" xfId="0" applyNumberFormat="1" applyFont="1" applyFill="1" applyBorder="1"/>
    <x:xf numFmtId="200" fontId="4" fillId="5" borderId="0" xfId="0" applyNumberFormat="1" applyFont="1" applyFill="1" applyBorder="1" applyAlignment="1">
      <x:alignment horizontal="center"/>
    </x:xf>
    <x:xf numFmtId="200" fontId="4" fillId="5" borderId="0" xfId="0" applyNumberFormat="1" applyFont="1" applyFill="1" applyBorder="1" applyAlignment="1">
      <x:alignment horizontal="center" vertical="center"/>
    </x:xf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3" fillId="5" borderId="1" xfId="0" applyNumberFormat="1" applyFont="1" applyFill="1" applyBorder="1" applyAlignment="1">
      <x:alignment horizontal="center" vertical="center"/>
    </x:xf>
    <x:xf numFmtId="0" fontId="3" fillId="5" borderId="2" xfId="0" applyNumberFormat="1" applyFont="1" applyFill="1" applyBorder="1" applyAlignment="1">
      <x:alignment horizontal="center" vertical="center"/>
    </x:xf>
    <x:xf numFmtId="0" fontId="3" fillId="5" borderId="3" xfId="0" applyNumberFormat="1" applyFont="1" applyFill="1" applyBorder="1" applyAlignment="1">
      <x:alignment horizontal="center" vertical="center"/>
    </x:xf>
    <x:xf numFmtId="200" fontId="4" fillId="5" borderId="4" xfId="0" applyNumberFormat="1" applyFont="1" applyFill="1" applyBorder="1" applyAlignment="1">
      <x:alignment horizontal="center" vertical="center"/>
    </x:xf>
    <x:xf numFmtId="0" fontId="0" fillId="2" borderId="5" xfId="0" applyNumberFormat="1" applyFont="1" applyFill="1" applyBorder="1"/>
    <x:xf numFmtId="0" fontId="0" fillId="2" borderId="4" xfId="0" applyNumberFormat="1" applyFont="1" applyFill="1" applyBorder="1"/>
    <x:xf numFmtId="0" fontId="5" fillId="5" borderId="6" xfId="0" applyNumberFormat="1" applyFont="1" applyFill="1" applyBorder="1" applyAlignment="1">
      <x:alignment horizontal="center" vertical="center"/>
    </x:xf>
    <x:xf numFmtId="0" fontId="5" fillId="5" borderId="7" xfId="0" applyNumberFormat="1" applyFont="1" applyFill="1" applyBorder="1" applyAlignment="1">
      <x:alignment horizontal="center" vertical="center"/>
    </x:xf>
    <x:xf numFmtId="0" fontId="5" fillId="5" borderId="8" xfId="0" applyNumberFormat="1" applyFont="1" applyFill="1" applyBorder="1" applyAlignment="1">
      <x:alignment horizontal="center" vertical="center"/>
    </x:xf>
    <x:xf numFmtId="0" fontId="6" fillId="5" borderId="0" xfId="0" applyNumberFormat="1" applyFont="1" applyFill="1" applyBorder="1"/>
    <x:xf numFmtId="201" fontId="6" fillId="5" borderId="0" xfId="0" applyNumberFormat="1" applyFont="1" applyFill="1" applyBorder="1"/>
    <x:xf numFmtId="201" fontId="6" fillId="5" borderId="0" xfId="0" applyNumberFormat="1" applyFont="1" applyFill="1" applyBorder="1" applyAlignment="1">
      <x:alignment horizontal="center"/>
    </x:xf>
    <x:xf numFmtId="201" fontId="6" fillId="5" borderId="0" xfId="0" applyNumberFormat="1" applyFont="1" applyFill="1" applyBorder="1" applyAlignment="1">
      <x:alignment horizontal="center" vertical="center"/>
    </x:xf>
    <x:xf numFmtId="0" fontId="3" fillId="5" borderId="9" xfId="0" applyNumberFormat="1" applyFont="1" applyFill="1" applyBorder="1" applyAlignment="1">
      <x:alignment horizontal="center" vertical="center"/>
    </x:xf>
    <x:xf numFmtId="0" fontId="3" fillId="5" borderId="10" xfId="0" applyNumberFormat="1" applyFont="1" applyFill="1" applyBorder="1" applyAlignment="1">
      <x:alignment horizontal="center" vertical="center"/>
    </x:xf>
    <x:xf numFmtId="0" fontId="3" fillId="5" borderId="11" xfId="0" applyNumberFormat="1" applyFont="1" applyFill="1" applyBorder="1" applyAlignment="1">
      <x:alignment horizontal="center" vertical="center"/>
    </x:xf>
    <x:xf numFmtId="201" fontId="6" fillId="5" borderId="4" xfId="0" applyNumberFormat="1" applyFont="1" applyFill="1" applyBorder="1" applyAlignment="1">
      <x:alignment horizontal="center" vertical="center"/>
    </x:xf>
    <x:xf numFmtId="202" fontId="6" fillId="5" borderId="0" xfId="0" applyNumberFormat="1" applyFont="1" applyFill="1" applyBorder="1"/>
    <x:xf numFmtId="202" fontId="6" fillId="5" borderId="0" xfId="0" applyNumberFormat="1" applyFont="1" applyFill="1" applyBorder="1" applyAlignment="1">
      <x:alignment horizontal="center"/>
    </x:xf>
    <x:xf numFmtId="202" fontId="6" fillId="5" borderId="0" xfId="0" applyNumberFormat="1" applyFont="1" applyFill="1" applyBorder="1" applyAlignment="1">
      <x:alignment horizontal="center" vertical="center"/>
    </x:xf>
    <x:xf numFmtId="202" fontId="6" fillId="5" borderId="4" xfId="0" applyNumberFormat="1" applyFont="1" applyFill="1" applyBorder="1" applyAlignment="1">
      <x:alignment horizontal="center" vertical="center"/>
    </x:xf>
    <x:xf numFmtId="0" fontId="7" fillId="5" borderId="0" xfId="0" applyNumberFormat="1" applyFont="1" applyFill="1" applyBorder="1"/>
    <x:xf numFmtId="201" fontId="7" fillId="5" borderId="0" xfId="0" applyNumberFormat="1" applyFont="1" applyFill="1" applyBorder="1"/>
    <x:xf numFmtId="201" fontId="7" fillId="5" borderId="0" xfId="0" applyNumberFormat="1" applyFont="1" applyFill="1" applyBorder="1" applyAlignment="1">
      <x:alignment horizontal="center"/>
    </x:xf>
    <x:xf numFmtId="201" fontId="7" fillId="5" borderId="0" xfId="0" applyNumberFormat="1" applyFont="1" applyFill="1" applyBorder="1" applyAlignment="1">
      <x:alignment horizontal="center" vertical="center"/>
    </x:xf>
    <x:xf numFmtId="0" fontId="3" fillId="5" borderId="12" xfId="0" applyNumberFormat="1" applyFont="1" applyFill="1" applyBorder="1" applyAlignment="1">
      <x:alignment horizontal="center" vertical="center"/>
    </x:xf>
    <x:xf numFmtId="0" fontId="3" fillId="5" borderId="13" xfId="0" applyNumberFormat="1" applyFont="1" applyFill="1" applyBorder="1" applyAlignment="1">
      <x:alignment horizontal="center" vertical="center"/>
    </x:xf>
    <x:xf numFmtId="0" fontId="3" fillId="5" borderId="14" xfId="0" applyNumberFormat="1" applyFont="1" applyFill="1" applyBorder="1" applyAlignment="1">
      <x:alignment horizontal="center" vertical="center"/>
    </x:xf>
    <x:xf numFmtId="201" fontId="7" fillId="5" borderId="4" xfId="0" applyNumberFormat="1" applyFont="1" applyFill="1" applyBorder="1" applyAlignment="1">
      <x:alignment horizontal="center" vertical="center"/>
    </x:xf>
    <x:xf numFmtId="203" fontId="7" fillId="5" borderId="0" xfId="0" applyNumberFormat="1" applyFont="1" applyFill="1" applyBorder="1"/>
    <x:xf numFmtId="203" fontId="7" fillId="5" borderId="0" xfId="0" applyNumberFormat="1" applyFont="1" applyFill="1" applyBorder="1" applyAlignment="1">
      <x:alignment horizontal="center"/>
    </x:xf>
    <x:xf numFmtId="203" fontId="7" fillId="5" borderId="0" xfId="0" applyNumberFormat="1" applyFont="1" applyFill="1" applyBorder="1" applyAlignment="1">
      <x:alignment horizontal="center" vertical="center"/>
    </x:xf>
    <x:xf numFmtId="203" fontId="7" fillId="5" borderId="4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15" xfId="0" applyNumberFormat="1" applyFont="1" applyFill="1" applyBorder="1"/>
    <x:xf numFmtId="0" fontId="8" fillId="6" borderId="15" xfId="0" applyNumberFormat="1" applyFont="1" applyFill="1" applyBorder="1" applyAlignment="1">
      <x:alignment wrapText="1"/>
    </x:xf>
    <x:xf numFmtId="0" fontId="8" fillId="6" borderId="15" xfId="0" applyNumberFormat="1" applyFont="1" applyFill="1" applyBorder="1" applyAlignment="1">
      <x:alignment horizontal="center" wrapText="1"/>
    </x:xf>
    <x:xf numFmtId="0" fontId="8" fillId="6" borderId="15" xfId="0" applyNumberFormat="1" applyFont="1" applyFill="1" applyBorder="1" applyAlignment="1">
      <x:alignment horizontal="center" vertical="center" wrapText="1"/>
    </x:xf>
    <x:xf numFmtId="0" fontId="9" fillId="3" borderId="0" xfId="0" applyNumberFormat="1" applyFont="1" applyFill="1" applyBorder="1"/>
    <x:xf numFmtId="0" fontId="9" fillId="3" borderId="0" xfId="0" applyNumberFormat="1" applyFont="1" applyFill="1" applyBorder="1" applyAlignment="1">
      <x:alignment wrapText="1"/>
    </x:xf>
    <x:xf numFmtId="0" fontId="9" fillId="3" borderId="0" xfId="0" applyNumberFormat="1" applyFont="1" applyFill="1" applyBorder="1" applyAlignment="1">
      <x:alignment vertical="center" wrapText="1"/>
    </x:xf>
    <x:xf numFmtId="0" fontId="10" fillId="3" borderId="0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/>
    <x:xf numFmtId="0" fontId="10" fillId="3" borderId="7" xfId="0" applyNumberFormat="1" applyFont="1" applyFill="1" applyBorder="1" applyAlignment="1">
      <x:alignment vertical="center" wrapText="1"/>
    </x:xf>
    <x:xf numFmtId="0" fontId="11" fillId="0" borderId="16" xfId="0" applyNumberFormat="1" applyFont="1" applyFill="1" applyBorder="1"/>
    <x:xf numFmtId="0" fontId="11" fillId="0" borderId="17" xfId="0" applyNumberFormat="1" applyFont="1" applyFill="1" applyBorder="1"/>
    <x:xf numFmtId="201" fontId="11" fillId="0" borderId="16" xfId="0" applyNumberFormat="1" applyFont="1" applyFill="1" applyBorder="1"/>
    <x:xf numFmtId="201" fontId="11" fillId="0" borderId="17" xfId="0" applyNumberFormat="1" applyFont="1" applyFill="1" applyBorder="1"/>
    <x:xf numFmtId="204" fontId="11" fillId="0" borderId="16" xfId="0" applyNumberFormat="1" applyFont="1" applyFill="1" applyBorder="1"/>
    <x:xf numFmtId="204" fontId="11" fillId="0" borderId="17" xfId="0" applyNumberFormat="1" applyFont="1" applyFill="1" applyBorder="1"/>
    <x:xf numFmtId="202" fontId="11" fillId="0" borderId="16" xfId="0" applyNumberFormat="1" applyFont="1" applyFill="1" applyBorder="1"/>
    <x:xf numFmtId="202" fontId="11" fillId="0" borderId="17" xfId="0" applyNumberFormat="1" applyFont="1" applyFill="1" applyBorder="1"/>
    <x:xf numFmtId="205" fontId="11" fillId="0" borderId="16" xfId="0" applyNumberFormat="1" applyFont="1" applyFill="1" applyBorder="1"/>
    <x:xf numFmtId="205" fontId="11" fillId="0" borderId="17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9" fillId="3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horizontal="center"/>
    </x:xf>
    <x:xf numFmtId="0" fontId="8" fillId="7" borderId="0" xfId="0" applyNumberFormat="1" applyFont="1" applyFill="1" applyBorder="1" applyAlignment="1">
      <x:alignment horizontal="center" vertical="center"/>
    </x:xf>
    <x:xf numFmtId="0" fontId="12" fillId="5" borderId="0" xfId="0" applyNumberFormat="1" applyFont="1" applyFill="1" applyBorder="1"/>
    <x:xf numFmtId="0" fontId="12" fillId="5" borderId="7" xfId="0" applyNumberFormat="1" applyFont="1" applyFill="1" applyBorder="1"/>
    <x:xf numFmtId="0" fontId="12" fillId="5" borderId="7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12" fillId="8" borderId="0" xfId="0" applyNumberFormat="1" applyFont="1" applyFill="1" applyBorder="1"/>
    <x:xf numFmtId="0" fontId="12" fillId="8" borderId="7" xfId="0" applyNumberFormat="1" applyFont="1" applyFill="1" applyBorder="1"/>
    <x:xf numFmtId="0" fontId="12" fillId="8" borderId="7" xfId="0" applyNumberFormat="1" applyFont="1" applyFill="1" applyBorder="1" applyAlignment="1">
      <x:alignment vertical="center"/>
    </x:xf>
    <x:xf numFmtId="201" fontId="12" fillId="5" borderId="7" xfId="0" applyNumberFormat="1" applyFont="1" applyFill="1" applyBorder="1" applyAlignment="1">
      <x:alignment vertical="center"/>
    </x:xf>
    <x:xf numFmtId="201" fontId="12" fillId="8" borderId="7" xfId="0" applyNumberFormat="1" applyFont="1" applyFill="1" applyBorder="1" applyAlignment="1">
      <x:alignment vertical="center"/>
    </x:xf>
    <x:xf numFmtId="203" fontId="4" fillId="5" borderId="0" xfId="0" applyNumberFormat="1" applyFont="1" applyFill="1" applyBorder="1"/>
    <x:xf numFmtId="203" fontId="4" fillId="5" borderId="0" xfId="0" applyNumberFormat="1" applyFont="1" applyFill="1" applyBorder="1" applyAlignment="1">
      <x:alignment horizontal="center"/>
    </x:xf>
    <x:xf numFmtId="203" fontId="4" fillId="5" borderId="0" xfId="0" applyNumberFormat="1" applyFont="1" applyFill="1" applyBorder="1" applyAlignment="1">
      <x:alignment horizontal="center" vertical="center"/>
    </x:xf>
    <x:xf numFmtId="203" fontId="4" fillId="5" borderId="4" xfId="0" applyNumberFormat="1" applyFont="1" applyFill="1" applyBorder="1" applyAlignment="1">
      <x:alignment horizontal="center" vertical="center"/>
    </x:xf>
    <x:xf numFmtId="205" fontId="12" fillId="5" borderId="7" xfId="0" applyNumberFormat="1" applyFont="1" applyFill="1" applyBorder="1" applyAlignment="1">
      <x:alignment vertical="center"/>
    </x:xf>
    <x:xf numFmtId="205" fontId="12" fillId="8" borderId="7" xfId="0" applyNumberFormat="1" applyFont="1" applyFill="1" applyBorder="1" applyAlignment="1">
      <x:alignment vertical="center"/>
    </x:xf>
    <x:xf numFmtId="0" fontId="13" fillId="6" borderId="0" xfId="0" applyNumberFormat="1" applyFont="1" applyFill="1" applyBorder="1"/>
    <x:xf numFmtId="0" fontId="13" fillId="6" borderId="15" xfId="0" applyNumberFormat="1" applyFont="1" applyFill="1" applyBorder="1"/>
    <x:xf numFmtId="0" fontId="13" fillId="6" borderId="15" xfId="0" applyNumberFormat="1" applyFont="1" applyFill="1" applyBorder="1" applyAlignment="1">
      <x:alignment wrapText="1"/>
    </x:xf>
    <x:xf numFmtId="0" fontId="13" fillId="6" borderId="15" xfId="0" applyNumberFormat="1" applyFont="1" applyFill="1" applyBorder="1" applyAlignment="1">
      <x:alignment vertical="center" wrapText="1"/>
    </x:xf>
    <x:xf numFmtId="0" fontId="8" fillId="7" borderId="0" xfId="0" applyNumberFormat="1" applyFont="1" applyFill="1" applyBorder="1" applyAlignment="1">
      <x:alignment wrapText="1"/>
    </x:xf>
    <x:xf numFmtId="0" fontId="8" fillId="7" borderId="0" xfId="0" applyNumberFormat="1" applyFont="1" applyFill="1" applyBorder="1" applyAlignment="1">
      <x:alignment horizontal="center" wrapText="1"/>
    </x:xf>
    <x:xf numFmtId="0" fontId="8" fillId="7" borderId="0" xfId="0" applyNumberFormat="1" applyFont="1" applyFill="1" applyBorder="1" applyAlignment="1">
      <x:alignment horizontal="center" vertical="center" wrapText="1"/>
    </x:xf>
    <x:xf numFmtId="204" fontId="12" fillId="5" borderId="7" xfId="0" applyNumberFormat="1" applyFont="1" applyFill="1" applyBorder="1" applyAlignment="1">
      <x:alignment vertical="center"/>
    </x:xf>
    <x:xf numFmtId="204" fontId="12" fillId="8" borderId="7" xfId="0" applyNumberFormat="1" applyFont="1" applyFill="1" applyBorder="1" applyAlignment="1">
      <x:alignment vertical="center"/>
    </x:xf>
    <x:xf numFmtId="0" fontId="12" fillId="5" borderId="7" xfId="0" applyNumberFormat="1" applyFont="1" applyFill="1" applyBorder="1" applyAlignment="1">
      <x:alignment horizontal="center" vertical="center"/>
    </x:xf>
    <x:xf numFmtId="0" fontId="12" fillId="8" borderId="7" xfId="0" applyNumberFormat="1" applyFont="1" applyFill="1" applyBorder="1" applyAlignment="1">
      <x:alignment horizontal="center" vertical="center"/>
    </x:xf>
    <x:xf numFmtId="201" fontId="12" fillId="5" borderId="7" xfId="0" applyNumberFormat="1" applyFont="1" applyFill="1" applyBorder="1" applyAlignment="1">
      <x:alignment horizontal="center" vertical="center"/>
    </x:xf>
    <x:xf numFmtId="204" fontId="12" fillId="5" borderId="7" xfId="0" applyNumberFormat="1" applyFont="1" applyFill="1" applyBorder="1" applyAlignment="1">
      <x:alignment horizontal="center" vertical="center"/>
    </x:xf>
    <x:xf numFmtId="201" fontId="12" fillId="8" borderId="7" xfId="0" applyNumberFormat="1" applyFont="1" applyFill="1" applyBorder="1" applyAlignment="1">
      <x:alignment horizontal="center" vertical="center"/>
    </x:xf>
    <x:xf numFmtId="204" fontId="12" fillId="8" borderId="7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7">
    <x:dxf>
      <x:font>
        <x:b/>
        <x:color rgb="FFD65A4A"/>
      </x:font>
      <x:fill>
        <x:patternFill patternType="solid">
          <x:bgColor rgb="FFF9E4E0"/>
        </x:patternFill>
      </x:fill>
    </x:dxf>
    <x:dxf>
      <x:font>
        <x:b/>
        <x:color rgb="FF9A5B16"/>
      </x:font>
      <x:fill>
        <x:patternFill patternType="solid">
          <x:bgColor rgb="FFFFF0DE"/>
        </x:patternFill>
      </x:fill>
    </x:dxf>
    <x:dxf>
      <x:font>
        <x:b/>
        <x:color rgb="FF3A8D5D"/>
      </x:font>
      <x:fill>
        <x:patternFill patternType="solid">
          <x:bgColor rgb="FFE3F1E8"/>
        </x:patternFill>
      </x:fill>
    </x:dxf>
    <x:dxf>
      <x:font>
        <x:b/>
        <x:color rgb="FFD65A4A"/>
      </x:font>
      <x:fill>
        <x:patternFill patternType="solid">
          <x:bgColor rgb="FFF9E4E0"/>
        </x:patternFill>
      </x:fill>
    </x:dxf>
    <x:dxf>
      <x:font>
        <x:b/>
        <x:color rgb="FF9A5B16"/>
      </x:font>
      <x:fill>
        <x:patternFill patternType="solid">
          <x:bgColor rgb="FFFFF0DE"/>
        </x:patternFill>
      </x:fill>
    </x:dxf>
    <x:dxf>
      <x:font>
        <x:b/>
        <x:color rgb="FFD65A4A"/>
      </x:font>
      <x:fill>
        <x:patternFill patternType="solid">
          <x:bgColor rgb="FFF9E4E0"/>
        </x:patternFill>
      </x:fill>
    </x:dxf>
    <x:dxf>
      <x:font>
        <x:b/>
        <x:color rgb="FF9A5B16"/>
      </x:font>
      <x:fill>
        <x:patternFill patternType="solid">
          <x:bgColor rgb="FFFFF0D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223fa1f0564572" /><Relationship Type="http://schemas.openxmlformats.org/officeDocument/2006/relationships/theme" Target="/xl/theme/theme1.xml" Id="R7d7b6aa8e6044614" /><Relationship Type="http://schemas.openxmlformats.org/officeDocument/2006/relationships/sharedStrings" Target="/xl/sharedStrings.xml" Id="Rd78bbfe454c148aa" /><Relationship Type="http://schemas.openxmlformats.org/officeDocument/2006/relationships/worksheet" Target="/xl/worksheets/sheet1.xml" Id="R1068d3ecb45d421a" /><Relationship Type="http://schemas.openxmlformats.org/officeDocument/2006/relationships/worksheet" Target="/xl/worksheets/sheet2.xml" Id="Re983e1a4a4d9414c" /><Relationship Type="http://schemas.openxmlformats.org/officeDocument/2006/relationships/worksheet" Target="/xl/worksheets/sheet3.xml" Id="Rfb83d934c9fe4a3a" /><Relationship Type="http://schemas.openxmlformats.org/officeDocument/2006/relationships/worksheet" Target="/xl/worksheets/sheet4.xml" Id="R98d925c007ef48a4" /><Relationship Type="http://schemas.openxmlformats.org/officeDocument/2006/relationships/worksheet" Target="/xl/worksheets/sheet5.xml" Id="R5a6367c81144407c" /><Relationship Type="http://schemas.openxmlformats.org/officeDocument/2006/relationships/worksheet" Target="/xl/worksheets/sheet6.xml" Id="R989aacdb8fd647ce" /><Relationship Type="http://schemas.openxmlformats.org/officeDocument/2006/relationships/worksheet" Target="/xl/worksheets/sheet7.xml" Id="Re637b8e29c6d4f53" /><Relationship Type="http://schemas.openxmlformats.org/officeDocument/2006/relationships/worksheet" Target="/xl/worksheets/sheet8.xml" Id="Rfa64303f41d94279" /><Relationship Type="http://schemas.openxmlformats.org/officeDocument/2006/relationships/worksheet" Target="/xl/worksheets/sheet9.xml" Id="R1bd0aab932c645d9" /><Relationship Type="http://schemas.openxmlformats.org/officeDocument/2006/relationships/worksheet" Target="/xl/worksheets/sheet10.xml" Id="Rec619abe876041fc" /><Relationship Type="http://schemas.microsoft.com/office/2017/10/relationships/person" Target="/xl/persons/person.xml" Id="R2aeaf6298cab4fc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5b06d21997b4a15" /><Relationship Type="http://schemas.openxmlformats.org/officeDocument/2006/relationships/chart" Target="/xl/drawings/charts/chart2.xml" Id="R25fbb9f62f204f67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2e18494ff3964897" /><Relationship Type="http://schemas.openxmlformats.org/officeDocument/2006/relationships/chart" Target="/xl/drawings/charts/chart4.xml" Id="R287b60ce65944560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f4ec085d7b1e4a9f" /><Relationship Type="http://schemas.openxmlformats.org/officeDocument/2006/relationships/chart" Target="/xl/drawings/charts/chart6.xml" Id="Rb33e412544f84cb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Engagement recovered after the December dip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Active rate</c:v>
          </c:tx>
          <c:spPr>
            <a:solidFill xmlns:a="http://schemas.openxmlformats.org/drawingml/2006/main">
              <a:srgbClr val="147D92"/>
            </a:solidFill>
          </c:spPr>
          <c:marker>
            <c:symbol val="none"/>
          </c:marker>
          <c:cat>
            <c:strRef>
              <c:f>'Monthly Trend'!$A$2:$A$10</c:f>
              <c:strCache>
                <c:ptCount val="0"/>
              </c:strCache>
            </c:strRef>
          </c:cat>
          <c:val>
            <c:numRef>
              <c:f>'Monthly Trend'!$D$2:$D$10</c:f>
              <c:numCache>
                <c:formatCode>0%</c:formatCode>
                <c:ptCount val="0"/>
              </c:numCache>
            </c:numRef>
          </c:val>
          <c:smooth val="0"/>
        </c:ser>
        <c:ser>
          <c:idx val="1"/>
          <c:order val="1"/>
          <c:tx>
            <c:v>Dosage target rate</c:v>
          </c:tx>
          <c:spPr>
            <a:solidFill xmlns:a="http://schemas.openxmlformats.org/drawingml/2006/main">
              <a:srgbClr val="F2A65A"/>
            </a:solidFill>
          </c:spPr>
          <c:marker>
            <c:symbol val="none"/>
          </c:marker>
          <c:cat>
            <c:strRef>
              <c:f>'Monthly Trend'!$A$2:$A$10</c:f>
              <c:strCache>
                <c:ptCount val="0"/>
              </c:strCache>
            </c:strRef>
          </c:cat>
          <c:val>
            <c:numRef>
              <c:f>'Monthly Trend'!$E$2:$E$10</c:f>
              <c:numCache>
                <c:formatCode>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ax val="0.85"/>
          <c:min val="0.45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Activation varies by district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Activation rate</c:v>
          </c:tx>
          <c:spPr>
            <a:solidFill xmlns:a="http://schemas.openxmlformats.org/drawingml/2006/main">
              <a:srgbClr val="147D92"/>
            </a:solidFill>
          </c:spPr>
          <c:cat>
            <c:strRef>
              <c:f>'District Performance'!$B$2:$B$9</c:f>
              <c:strCache>
                <c:ptCount val="0"/>
              </c:strCache>
            </c:strRef>
          </c:cat>
          <c:val>
            <c:numRef>
              <c:f>'District Performance'!$G$2:$G$9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ax val="1"/>
          <c:min val="0.7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Support SLA is weakest in Summit Plains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Support SLA rate</c:v>
          </c:tx>
          <c:spPr>
            <a:solidFill xmlns:a="http://schemas.openxmlformats.org/drawingml/2006/main">
              <a:srgbClr val="F2A65A"/>
            </a:solidFill>
          </c:spPr>
          <c:cat>
            <c:strRef>
              <c:f>'District Performance'!$B$2:$B$9</c:f>
              <c:strCache>
                <c:ptCount val="0"/>
              </c:strCache>
            </c:strRef>
          </c:cat>
          <c:val>
            <c:numRef>
              <c:f>'District Performance'!$K$2:$K$9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Training completion mirrors implementation risk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Training rate</c:v>
          </c:tx>
          <c:spPr>
            <a:solidFill xmlns:a="http://schemas.openxmlformats.org/drawingml/2006/main">
              <a:srgbClr val="147D92"/>
            </a:solidFill>
          </c:spPr>
          <c:cat>
            <c:strRef>
              <c:f>'District Performance'!$B$2:$B$9</c:f>
              <c:strCache>
                <c:ptCount val="0"/>
              </c:strCache>
            </c:strRef>
          </c:cat>
          <c:val>
            <c:numRef>
              <c:f>'District Performance'!$L$2:$L$9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ax val="1"/>
          <c:min val="0.4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Average scores by grade level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Baseline</c:v>
          </c:tx>
          <c:spPr>
            <a:solidFill xmlns:a="http://schemas.openxmlformats.org/drawingml/2006/main">
              <a:srgbClr val="72B7B2"/>
            </a:solidFill>
          </c:spPr>
          <c:cat>
            <c:strRef>
              <c:f>'Segment Outcomes'!$B$6:$B$11</c:f>
              <c:strCache>
                <c:ptCount val="0"/>
              </c:strCache>
            </c:strRef>
          </c:cat>
          <c:val>
            <c:numRef>
              <c:f>'Segment Outcomes'!$E$6:$E$11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Follow-up</c:v>
          </c:tx>
          <c:spPr>
            <a:solidFill xmlns:a="http://schemas.openxmlformats.org/drawingml/2006/main">
              <a:srgbClr val="147D92"/>
            </a:solidFill>
          </c:spPr>
          <c:cat>
            <c:strRef>
              <c:f>'Segment Outcomes'!$B$6:$B$11</c:f>
              <c:strCache>
                <c:ptCount val="0"/>
              </c:strCache>
            </c:strRef>
          </c:cat>
          <c:val>
            <c:numRef>
              <c:f>'Segment Outcomes'!$F$6:$F$11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ax val="65"/>
          <c:min val="4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Follow-up completion remains above 85% across displayed groups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Follow-up completion</c:v>
          </c:tx>
          <c:spPr>
            <a:solidFill xmlns:a="http://schemas.openxmlformats.org/drawingml/2006/main">
              <a:srgbClr val="F2A65A"/>
            </a:solidFill>
          </c:spPr>
          <c:cat>
            <c:strRef>
              <c:f>'Segment Outcomes'!$B$2:$B$14</c:f>
              <c:strCache>
                <c:ptCount val="0"/>
              </c:strCache>
            </c:strRef>
          </c:cat>
          <c:val>
            <c:numRef>
              <c:f>'Segment Outcomes'!$D$2:$D$14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</c:catAx>
      <c:valAx>
        <c:axId val="48672768"/>
        <c:scaling>
          <c:orientation val="minMax"/>
          <c:max val="0.95"/>
          <c:min val="0.8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12</xdr:row>
      <xdr:rowOff>0</xdr:rowOff>
    </xdr:from>
    <xdr:to>
      <xdr:col>8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5b06d21997b4a15"/>
        </a:graphicData>
      </a:graphic>
    </xdr:graphicFrame>
    <xdr:clientData/>
  </xdr:twoCellAnchor>
  <xdr:twoCellAnchor>
    <xdr:from>
      <xdr:col>8</xdr:col>
      <xdr:colOff>0</xdr:colOff>
      <xdr:row>12</xdr:row>
      <xdr:rowOff>0</xdr:rowOff>
    </xdr:from>
    <xdr:to>
      <xdr:col>17</xdr:col>
      <xdr:colOff>0</xdr:colOff>
      <xdr:row>28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5fbb9f62f204f6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8</xdr:row>
      <xdr:rowOff>0</xdr:rowOff>
    </xdr:from>
    <xdr:to>
      <xdr:col>8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e18494ff3964897"/>
        </a:graphicData>
      </a:graphic>
    </xdr:graphicFrame>
    <xdr:clientData/>
  </xdr:twoCellAnchor>
  <xdr:twoCellAnchor>
    <xdr:from>
      <xdr:col>8</xdr:col>
      <xdr:colOff>0</xdr:colOff>
      <xdr:row>8</xdr:row>
      <xdr:rowOff>0</xdr:rowOff>
    </xdr:from>
    <xdr:to>
      <xdr:col>17</xdr:col>
      <xdr:colOff>0</xdr:colOff>
      <xdr:row>24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87b60ce65944560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0</xdr:col>
      <xdr:colOff>0</xdr:colOff>
      <xdr:row>8</xdr:row>
      <xdr:rowOff>0</xdr:rowOff>
    </xdr:from>
    <xdr:to>
      <xdr:col>9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4ec085d7b1e4a9f"/>
        </a:graphicData>
      </a:graphic>
    </xdr:graphicFrame>
    <xdr:clientData/>
  </xdr:twoCellAnchor>
  <xdr:twoCellAnchor>
    <xdr:from>
      <xdr:col>9</xdr:col>
      <xdr:colOff>0</xdr:colOff>
      <xdr:row>8</xdr:row>
      <xdr:rowOff>0</xdr:rowOff>
    </xdr:from>
    <xdr:to>
      <xdr:col>17</xdr:col>
      <xdr:colOff>0</xdr:colOff>
      <xdr:row>25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33e412544f84cb5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Matthew Jeans" id="{239AD590-0F58-4A16-927E-CFAA6F06E144}"/>
</xltc:personList>
</file>

<file path=xl/tables/table1.xml><?xml version="1.0" encoding="utf-8"?>
<x:table xmlns:x="http://schemas.openxmlformats.org/spreadsheetml/2006/main" id="1" name="MonthlyTrendTable" displayName="MonthlyTrendTable" ref="A1:F10" headerRowCount="1" totalsRowCount="0" totalsRowShown="0">
  <x:tableColumns count="6">
    <x:tableColumn id="1" name="month_start"/>
    <x:tableColumn id="2" name="enrolled_students"/>
    <x:tableColumn id="3" name="active_students"/>
    <x:tableColumn id="4" name="active_rate"/>
    <x:tableColumn id="5" name="dosage_target_rate"/>
    <x:tableColumn id="6" name="avg_minutes_per_active_stude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istrictPerformanceTable" displayName="DistrictPerformanceTable" ref="A1:O9" headerRowCount="1" totalsRowCount="0" totalsRowShown="0">
  <x:tableColumns count="15">
    <x:tableColumn id="1" name="district_id"/>
    <x:tableColumn id="2" name="district_name"/>
    <x:tableColumn id="3" name="region"/>
    <x:tableColumn id="4" name="locale"/>
    <x:tableColumn id="5" name="implementation_tier"/>
    <x:tableColumn id="6" name="students"/>
    <x:tableColumn id="7" name="activation_rate"/>
    <x:tableColumn id="8" name="dosage_target_rate"/>
    <x:tableColumn id="9" name="followup_completion_rate"/>
    <x:tableColumn id="10" name="avg_score_change"/>
    <x:tableColumn id="11" name="support_sla_rate"/>
    <x:tableColumn id="12" name="training_rate"/>
    <x:tableColumn id="13" name="fidelity_score"/>
    <x:tableColumn id="14" name="avg_data_refresh_days"/>
    <x:tableColumn id="15" name="risk_scor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choolRiskTable" displayName="SchoolRiskTable" ref="A1:N33" headerRowCount="1" totalsRowCount="0" totalsRowShown="0">
  <x:tableColumns count="14">
    <x:tableColumn id="1" name="intervention_priority"/>
    <x:tableColumn id="2" name="school_id"/>
    <x:tableColumn id="3" name="school_name"/>
    <x:tableColumn id="4" name="district_id"/>
    <x:tableColumn id="5" name="students"/>
    <x:tableColumn id="6" name="activation_rate"/>
    <x:tableColumn id="7" name="dosage_target_rate"/>
    <x:tableColumn id="8" name="followup_completion_rate"/>
    <x:tableColumn id="9" name="support_sla_rate"/>
    <x:tableColumn id="10" name="training_rate"/>
    <x:tableColumn id="11" name="fidelity_score"/>
    <x:tableColumn id="12" name="data_refresh_days"/>
    <x:tableColumn id="13" name="risk_score"/>
    <x:tableColumn id="14" name="risk_ban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egmentOutcomesTable" displayName="SegmentOutcomesTable" ref="A1:G14" headerRowCount="1" totalsRowCount="0" totalsRowShown="0">
  <x:tableColumns count="7">
    <x:tableColumn id="1" name="segment_dimension"/>
    <x:tableColumn id="2" name="segment"/>
    <x:tableColumn id="3" name="students"/>
    <x:tableColumn id="4" name="followup_completion_rate"/>
    <x:tableColumn id="5" name="avg_baseline_score"/>
    <x:tableColumn id="6" name="avg_followup_score"/>
    <x:tableColumn id="7" name="avg_score_chang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ataQualityTable" displayName="DataQualityTable" ref="A1:C8" headerRowCount="1" totalsRowCount="0" totalsRowShown="0">
  <x:tableColumns count="3">
    <x:tableColumn id="1" name="quality_rule"/>
    <x:tableColumn id="2" name="failing_records"/>
    <x:tableColumn id="3" name="statu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KpiDataTable" displayName="KpiDataTable" ref="A1:H2" headerRowCount="1" totalsRowCount="0" totalsRowShown="0">
  <x:tableColumns count="8">
    <x:tableColumn id="1" name="eligible_students"/>
    <x:tableColumn id="2" name="activated_students"/>
    <x:tableColumn id="3" name="activation_rate"/>
    <x:tableColumn id="4" name="dosage_target_rate"/>
    <x:tableColumn id="5" name="followup_completion_rate"/>
    <x:tableColumn id="6" name="avg_score_change"/>
    <x:tableColumn id="7" name="support_sla_rate"/>
    <x:tableColumn id="8" name="high_risk_school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MetricDictionaryTable" displayName="MetricDictionaryTable" ref="A1:D7" headerRowCount="1" totalsRowCount="0" totalsRowShown="0">
  <x:tableColumns count="4">
    <x:tableColumn id="1" name="Metric"/>
    <x:tableColumn id="2" name="Definition"/>
    <x:tableColumn id="3" name="Target"/>
    <x:tableColumn id="4" name="Cave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1" dT="2026-08-13T00:27:06.399" personId="{239AD590-0F58-4A16-927E-CFAA6F06E144}" id="{8E49463F-12F1-2B74-C965-F31240E030D1}">
    <xltc:text>Synthetic education-operations portfolio. KPI values reconcile to outputs/02_dashboard_kpis.csv.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04db8d764b054b48" /><Relationship Type="http://schemas.openxmlformats.org/officeDocument/2006/relationships/vmlDrawing" Target="/xl/drawings/vmldrawing.vml" Id="Rf33609500eee4a69" /><Relationship Type="http://schemas.microsoft.com/office/2017/10/relationships/threadedComment" Target="/xl/threadedcomments/threadedcomment.xml" Id="R6ed497af4be74fad" /><Relationship Type="http://schemas.openxmlformats.org/officeDocument/2006/relationships/drawing" Target="/xl/drawings/drawing1.xml" Id="R33d68fd48d8447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09a32547ddf42f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95c9490823d4be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70ec63ff68c4c5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eb6b2c6ebcf48c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e0cde79a2fb40c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f465f59c9924aa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d094f46116c44e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2.xml" Id="Rdf879fd3a06a462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3.xml" Id="Ra7eff5c915624ad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</x:cols>
  <x:sheetData>
    <x:row r="1" ht="34" customHeight="1">
      <x:c r="A1" s="4" t="str">
        <x:v>STUDENT SUCCESS OPERATIONS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24" customHeight="1">
      <x:c r="A2" s="7" t="str">
        <x:v>Executive overview  •  Synthetic portfolio  •  September 2025–May 2026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8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>
      <x:c r="A4" s="19" t="str">
        <x:v>ELIGIBLE STUDENTS</x:v>
      </x:c>
      <x:c r="B4" s="20" t="str">
        <x:v>ELIGIBLE STUDENTS</x:v>
      </x:c>
      <x:c r="C4" s="20" t="str">
        <x:v>ELIGIBLE STUDENTS</x:v>
      </x:c>
      <x:c r="D4" s="21" t="str">
        <x:v>ELIGIBLE STUDENTS</x:v>
      </x:c>
      <x:c r="E4" s="32" t="str">
        <x:v>60-DAY ACTIVATION</x:v>
      </x:c>
      <x:c r="F4" s="33" t="str">
        <x:v>60-DAY ACTIVATION</x:v>
      </x:c>
      <x:c r="G4" s="33" t="str">
        <x:v>60-DAY ACTIVATION</x:v>
      </x:c>
      <x:c r="H4" s="34" t="str">
        <x:v>60-DAY ACTIVATION</x:v>
      </x:c>
      <x:c r="I4" s="32" t="str">
        <x:v>DOSAGE TARGET</x:v>
      </x:c>
      <x:c r="J4" s="33" t="str">
        <x:v>DOSAGE TARGET</x:v>
      </x:c>
      <x:c r="K4" s="33" t="str">
        <x:v>DOSAGE TARGET</x:v>
      </x:c>
      <x:c r="L4" s="34" t="str">
        <x:v>DOSAGE TARGET</x:v>
      </x:c>
      <x:c r="M4" s="32" t="str">
        <x:v>FOLLOW-UP COMPLETION</x:v>
      </x:c>
      <x:c r="N4" s="33" t="str">
        <x:v>FOLLOW-UP COMPLETION</x:v>
      </x:c>
      <x:c r="O4" s="33" t="str">
        <x:v>FOLLOW-UP COMPLETION</x:v>
      </x:c>
      <x:c r="P4" s="33" t="str">
        <x:v>FOLLOW-UP COMPLETION</x:v>
      </x:c>
      <x:c r="Q4" s="34" t="str">
        <x:v>FOLLOW-UP COMPLETION</x:v>
      </x:c>
    </x:row>
    <x:row r="5">
      <x:c r="A5" s="22" t="str">
        <x:f>'KPI Data'!A2</x:f>
        <x:v>3200</x:v>
      </x:c>
      <x:c r="B5" s="1"/>
      <x:c r="C5" s="1"/>
      <x:c r="D5" s="23"/>
      <x:c r="E5" s="35" t="n">
        <x:f>'KPI Data'!C2</x:f>
        <x:v>0.9206</x:v>
      </x:c>
      <x:c r="F5" s="1"/>
      <x:c r="G5" s="1"/>
      <x:c r="H5" s="23"/>
      <x:c r="I5" s="35" t="n">
        <x:f>'KPI Data'!D2</x:f>
        <x:v>0.6765</x:v>
      </x:c>
      <x:c r="J5" s="1"/>
      <x:c r="K5" s="1"/>
      <x:c r="L5" s="23"/>
      <x:c r="M5" s="35" t="n">
        <x:f>'KPI Data'!E2</x:f>
        <x:v>0.8959</x:v>
      </x:c>
      <x:c r="N5" s="1"/>
      <x:c r="O5" s="1"/>
      <x:c r="P5" s="1"/>
      <x:c r="Q5" s="23"/>
    </x:row>
    <x:row r="6">
      <x:c r="A6" s="24"/>
      <x:c r="B6" s="1"/>
      <x:c r="C6" s="1"/>
      <x:c r="D6" s="23"/>
      <x:c r="E6" s="24"/>
      <x:c r="F6" s="1"/>
      <x:c r="G6" s="1"/>
      <x:c r="H6" s="23"/>
      <x:c r="I6" s="24"/>
      <x:c r="J6" s="1"/>
      <x:c r="K6" s="1"/>
      <x:c r="L6" s="23"/>
      <x:c r="M6" s="24"/>
      <x:c r="N6" s="1"/>
      <x:c r="O6" s="1"/>
      <x:c r="P6" s="1"/>
      <x:c r="Q6" s="23"/>
    </x:row>
    <x:row r="7">
      <x:c r="A7" s="25" t="str">
        <x:v>Portfolio cohort</x:v>
      </x:c>
      <x:c r="B7" s="26" t="str">
        <x:v>Portfolio cohort</x:v>
      </x:c>
      <x:c r="C7" s="26" t="str">
        <x:v>Portfolio cohort</x:v>
      </x:c>
      <x:c r="D7" s="27" t="str">
        <x:v>Portfolio cohort</x:v>
      </x:c>
      <x:c r="E7" s="25" t="str">
        <x:v>Target ≥ 75%</x:v>
      </x:c>
      <x:c r="F7" s="26" t="str">
        <x:v>Target ≥ 75%</x:v>
      </x:c>
      <x:c r="G7" s="26" t="str">
        <x:v>Target ≥ 75%</x:v>
      </x:c>
      <x:c r="H7" s="27" t="str">
        <x:v>Target ≥ 75%</x:v>
      </x:c>
      <x:c r="I7" s="25" t="str">
        <x:v>Target ≥ 60%</x:v>
      </x:c>
      <x:c r="J7" s="26" t="str">
        <x:v>Target ≥ 60%</x:v>
      </x:c>
      <x:c r="K7" s="26" t="str">
        <x:v>Target ≥ 60%</x:v>
      </x:c>
      <x:c r="L7" s="27" t="str">
        <x:v>Target ≥ 60%</x:v>
      </x:c>
      <x:c r="M7" s="25" t="str">
        <x:v>Target ≥ 80%</x:v>
      </x:c>
      <x:c r="N7" s="26" t="str">
        <x:v>Target ≥ 80%</x:v>
      </x:c>
      <x:c r="O7" s="26" t="str">
        <x:v>Target ≥ 80%</x:v>
      </x:c>
      <x:c r="P7" s="26" t="str">
        <x:v>Target ≥ 80%</x:v>
      </x:c>
      <x:c r="Q7" s="27" t="str">
        <x:v>Target ≥ 80%</x:v>
      </x:c>
    </x:row>
    <x:row r="8">
      <x:c r="A8" s="32" t="str">
        <x:v>AVERAGE SCORE CHANGE</x:v>
      </x:c>
      <x:c r="B8" s="33" t="str">
        <x:v>AVERAGE SCORE CHANGE</x:v>
      </x:c>
      <x:c r="C8" s="33" t="str">
        <x:v>AVERAGE SCORE CHANGE</x:v>
      </x:c>
      <x:c r="D8" s="33" t="str">
        <x:v>AVERAGE SCORE CHANGE</x:v>
      </x:c>
      <x:c r="E8" s="34" t="str">
        <x:v>AVERAGE SCORE CHANGE</x:v>
      </x:c>
      <x:c r="F8" s="44" t="str">
        <x:v>SUPPORT SLA</x:v>
      </x:c>
      <x:c r="G8" s="45" t="str">
        <x:v>SUPPORT SLA</x:v>
      </x:c>
      <x:c r="H8" s="45" t="str">
        <x:v>SUPPORT SLA</x:v>
      </x:c>
      <x:c r="I8" s="45" t="str">
        <x:v>SUPPORT SLA</x:v>
      </x:c>
      <x:c r="J8" s="46" t="str">
        <x:v>SUPPORT SLA</x:v>
      </x:c>
      <x:c r="K8" s="44" t="str">
        <x:v>HIGH-RISK SCHOOLS</x:v>
      </x:c>
      <x:c r="L8" s="45" t="str">
        <x:v>HIGH-RISK SCHOOLS</x:v>
      </x:c>
      <x:c r="M8" s="45" t="str">
        <x:v>HIGH-RISK SCHOOLS</x:v>
      </x:c>
      <x:c r="N8" s="45" t="str">
        <x:v>HIGH-RISK SCHOOLS</x:v>
      </x:c>
      <x:c r="O8" s="46" t="str">
        <x:v>HIGH-RISK SCHOOLS</x:v>
      </x:c>
      <x:c r="P8" s="57" t="str">
        <x:v>DECISION
Focus recovery support on Summit Plains before broadening intervention.</x:v>
      </x:c>
      <x:c r="Q8" s="1"/>
    </x:row>
    <x:row r="9">
      <x:c r="A9" s="39" t="n">
        <x:f>'KPI Data'!F2</x:f>
        <x:v>9.71</x:v>
      </x:c>
      <x:c r="B9" s="1"/>
      <x:c r="C9" s="1"/>
      <x:c r="D9" s="1"/>
      <x:c r="E9" s="23"/>
      <x:c r="F9" s="47" t="n">
        <x:f>'KPI Data'!G2</x:f>
        <x:v>0.681</x:v>
      </x:c>
      <x:c r="G9" s="1"/>
      <x:c r="H9" s="1"/>
      <x:c r="I9" s="1"/>
      <x:c r="J9" s="23"/>
      <x:c r="K9" s="51" t="n">
        <x:f>'KPI Data'!H2</x:f>
        <x:v>5</x:v>
      </x:c>
      <x:c r="L9" s="1"/>
      <x:c r="M9" s="1"/>
      <x:c r="N9" s="1"/>
      <x:c r="O9" s="23"/>
      <x:c r="P9" s="1"/>
      <x:c r="Q9" s="1"/>
    </x:row>
    <x:row r="10">
      <x:c r="A10" s="24"/>
      <x:c r="B10" s="1"/>
      <x:c r="C10" s="1"/>
      <x:c r="D10" s="1"/>
      <x:c r="E10" s="23"/>
      <x:c r="F10" s="24"/>
      <x:c r="G10" s="1"/>
      <x:c r="H10" s="1"/>
      <x:c r="I10" s="1"/>
      <x:c r="J10" s="23"/>
      <x:c r="K10" s="24"/>
      <x:c r="L10" s="1"/>
      <x:c r="M10" s="1"/>
      <x:c r="N10" s="1"/>
      <x:c r="O10" s="23"/>
      <x:c r="P10" s="1"/>
      <x:c r="Q10" s="1"/>
    </x:row>
    <x:row r="11">
      <x:c r="A11" s="25" t="str">
        <x:v>Descriptive, paired scores</x:v>
      </x:c>
      <x:c r="B11" s="26" t="str">
        <x:v>Descriptive, paired scores</x:v>
      </x:c>
      <x:c r="C11" s="26" t="str">
        <x:v>Descriptive, paired scores</x:v>
      </x:c>
      <x:c r="D11" s="26" t="str">
        <x:v>Descriptive, paired scores</x:v>
      </x:c>
      <x:c r="E11" s="27" t="str">
        <x:v>Descriptive, paired scores</x:v>
      </x:c>
      <x:c r="F11" s="25" t="str">
        <x:v>Below 80% target</x:v>
      </x:c>
      <x:c r="G11" s="26" t="str">
        <x:v>Below 80% target</x:v>
      </x:c>
      <x:c r="H11" s="26" t="str">
        <x:v>Below 80% target</x:v>
      </x:c>
      <x:c r="I11" s="26" t="str">
        <x:v>Below 80% target</x:v>
      </x:c>
      <x:c r="J11" s="27" t="str">
        <x:v>Below 80% target</x:v>
      </x:c>
      <x:c r="K11" s="25" t="str">
        <x:v>Three in Summit Plains</x:v>
      </x:c>
      <x:c r="L11" s="26" t="str">
        <x:v>Three in Summit Plains</x:v>
      </x:c>
      <x:c r="M11" s="26" t="str">
        <x:v>Three in Summit Plains</x:v>
      </x:c>
      <x:c r="N11" s="26" t="str">
        <x:v>Three in Summit Plains</x:v>
      </x:c>
      <x:c r="O11" s="27" t="str">
        <x:v>Three in Summit Plains</x:v>
      </x:c>
      <x:c r="P11" s="1"/>
      <x:c r="Q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 ht="26" customHeight="1">
      <x:c r="A30" s="76" t="str">
        <x:v>INTERVENTION PRIORITY  •  Five schools currently meet the high-risk threshold</x:v>
      </x:c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25" customHeight="1">
      <x:c r="A31" s="102" t="str">
        <x:v>Priority</x:v>
      </x:c>
      <x:c r="B31" s="102" t="str">
        <x:v>School</x:v>
      </x:c>
      <x:c r="C31" s="102" t="str"/>
      <x:c r="D31" s="102" t="str"/>
      <x:c r="E31" s="102" t="str">
        <x:v>District</x:v>
      </x:c>
      <x:c r="F31" s="102" t="str">
        <x:v>Activation</x:v>
      </x:c>
      <x:c r="G31" s="102" t="str">
        <x:v>Dosage</x:v>
      </x:c>
      <x:c r="H31" s="102" t="str">
        <x:v>Follow-up</x:v>
      </x:c>
      <x:c r="I31" s="102" t="str">
        <x:v>Support SLA</x:v>
      </x:c>
      <x:c r="J31" s="102" t="str">
        <x:v>Training</x:v>
      </x:c>
      <x:c r="K31" s="102" t="str">
        <x:v>Fidelity</x:v>
      </x:c>
      <x:c r="L31" s="102" t="str">
        <x:v>Freshness</x:v>
      </x:c>
      <x:c r="M31" s="102" t="str">
        <x:v>Risk score</x:v>
      </x:c>
      <x:c r="N31" s="102" t="str">
        <x:v>Risk band</x:v>
      </x:c>
      <x:c r="O31" s="102" t="str"/>
      <x:c r="P31" s="102" t="str"/>
      <x:c r="Q31" s="102" t="str"/>
    </x:row>
    <x:row r="32" ht="24" customHeight="1">
      <x:c r="A32" s="105" t="str">
        <x:f>'School Risk'!A2</x:f>
        <x:v>1</x:v>
      </x:c>
      <x:c r="B32" s="83" t="str">
        <x:f>'School Risk'!C2</x:f>
        <x:v>Summit Plains School 4</x:v>
      </x:c>
      <x:c r="C32" s="83"/>
      <x:c r="D32" s="83"/>
      <x:c r="E32" s="83" t="str">
        <x:f>'School Risk'!D2</x:f>
        <x:v>D006</x:v>
      </x:c>
      <x:c r="F32" s="107" t="n">
        <x:f>'School Risk'!F2</x:f>
        <x:v>0.77</x:v>
      </x:c>
      <x:c r="G32" s="107" t="n">
        <x:f>'School Risk'!G2</x:f>
        <x:v>0.4967</x:v>
      </x:c>
      <x:c r="H32" s="107" t="n">
        <x:f>'School Risk'!H2</x:f>
        <x:v>0.78</x:v>
      </x:c>
      <x:c r="I32" s="107" t="n">
        <x:f>'School Risk'!I2</x:f>
        <x:v>0.3929</x:v>
      </x:c>
      <x:c r="J32" s="107" t="n">
        <x:f>'School Risk'!J2</x:f>
        <x:v>0.5</x:v>
      </x:c>
      <x:c r="K32" s="108" t="n">
        <x:f>'School Risk'!K2</x:f>
        <x:v>66</x:v>
      </x:c>
      <x:c r="L32" s="105" t="n">
        <x:f>'School Risk'!L2</x:f>
        <x:v>16</x:v>
      </x:c>
      <x:c r="M32" s="105" t="n">
        <x:f>'School Risk'!M2</x:f>
        <x:v>5</x:v>
      </x:c>
      <x:c r="N32" s="105" t="str">
        <x:f>'School Risk'!N2</x:f>
        <x:v>Critical</x:v>
      </x:c>
      <x:c r="O32" s="83"/>
      <x:c r="P32" s="83"/>
      <x:c r="Q32" s="83"/>
    </x:row>
    <x:row r="33" ht="24" customHeight="1">
      <x:c r="A33" s="106" t="str">
        <x:f>'School Risk'!A3</x:f>
        <x:v>2</x:v>
      </x:c>
      <x:c r="B33" s="87" t="str">
        <x:f>'School Risk'!C3</x:f>
        <x:v>Pine Ridge School 2</x:v>
      </x:c>
      <x:c r="C33" s="87"/>
      <x:c r="D33" s="87"/>
      <x:c r="E33" s="87" t="str">
        <x:f>'School Risk'!D3</x:f>
        <x:v>D004</x:v>
      </x:c>
      <x:c r="F33" s="109" t="n">
        <x:f>'School Risk'!F3</x:f>
        <x:v>0.79</x:v>
      </x:c>
      <x:c r="G33" s="109" t="n">
        <x:f>'School Risk'!G3</x:f>
        <x:v>0.5856</x:v>
      </x:c>
      <x:c r="H33" s="109" t="n">
        <x:f>'School Risk'!H3</x:f>
        <x:v>0.87</x:v>
      </x:c>
      <x:c r="I33" s="109" t="n">
        <x:f>'School Risk'!I3</x:f>
        <x:v>0.6316</x:v>
      </x:c>
      <x:c r="J33" s="109" t="n">
        <x:f>'School Risk'!J3</x:f>
        <x:v>0.6923</x:v>
      </x:c>
      <x:c r="K33" s="110" t="n">
        <x:f>'School Risk'!K3</x:f>
        <x:v>67.9</x:v>
      </x:c>
      <x:c r="L33" s="106" t="n">
        <x:f>'School Risk'!L3</x:f>
        <x:v>15</x:v>
      </x:c>
      <x:c r="M33" s="106" t="n">
        <x:f>'School Risk'!M3</x:f>
        <x:v>4</x:v>
      </x:c>
      <x:c r="N33" s="106" t="str">
        <x:f>'School Risk'!N3</x:f>
        <x:v>Critical</x:v>
      </x:c>
      <x:c r="O33" s="87"/>
      <x:c r="P33" s="87"/>
      <x:c r="Q33" s="87"/>
    </x:row>
    <x:row r="34" ht="24" customHeight="1">
      <x:c r="A34" s="105" t="str">
        <x:f>'School Risk'!A4</x:f>
        <x:v>3</x:v>
      </x:c>
      <x:c r="B34" s="83" t="str">
        <x:f>'School Risk'!C4</x:f>
        <x:v>Summit Plains School 3</x:v>
      </x:c>
      <x:c r="C34" s="83"/>
      <x:c r="D34" s="83"/>
      <x:c r="E34" s="83" t="str">
        <x:f>'School Risk'!D4</x:f>
        <x:v>D006</x:v>
      </x:c>
      <x:c r="F34" s="107" t="n">
        <x:f>'School Risk'!F4</x:f>
        <x:v>0.83</x:v>
      </x:c>
      <x:c r="G34" s="107" t="n">
        <x:f>'School Risk'!G4</x:f>
        <x:v>0.51</x:v>
      </x:c>
      <x:c r="H34" s="107" t="n">
        <x:f>'School Risk'!H4</x:f>
        <x:v>0.81</x:v>
      </x:c>
      <x:c r="I34" s="107" t="n">
        <x:f>'School Risk'!I4</x:f>
        <x:v>0.4242</x:v>
      </x:c>
      <x:c r="J34" s="107" t="n">
        <x:f>'School Risk'!J4</x:f>
        <x:v>0.52</x:v>
      </x:c>
      <x:c r="K34" s="108" t="n">
        <x:f>'School Risk'!K4</x:f>
        <x:v>66.9</x:v>
      </x:c>
      <x:c r="L34" s="105" t="n">
        <x:f>'School Risk'!L4</x:f>
        <x:v>15</x:v>
      </x:c>
      <x:c r="M34" s="105" t="n">
        <x:f>'School Risk'!M4</x:f>
        <x:v>4</x:v>
      </x:c>
      <x:c r="N34" s="105" t="str">
        <x:f>'School Risk'!N4</x:f>
        <x:v>Critical</x:v>
      </x:c>
      <x:c r="O34" s="83"/>
      <x:c r="P34" s="83"/>
      <x:c r="Q34" s="83"/>
    </x:row>
    <x:row r="35" ht="24" customHeight="1">
      <x:c r="A35" s="106" t="str">
        <x:f>'School Risk'!A5</x:f>
        <x:v>4</x:v>
      </x:c>
      <x:c r="B35" s="87" t="str">
        <x:f>'School Risk'!C5</x:f>
        <x:v>Summit Plains School 2</x:v>
      </x:c>
      <x:c r="C35" s="87"/>
      <x:c r="D35" s="87"/>
      <x:c r="E35" s="87" t="str">
        <x:f>'School Risk'!D5</x:f>
        <x:v>D006</x:v>
      </x:c>
      <x:c r="F35" s="109" t="n">
        <x:f>'School Risk'!F5</x:f>
        <x:v>0.82</x:v>
      </x:c>
      <x:c r="G35" s="109" t="n">
        <x:f>'School Risk'!G5</x:f>
        <x:v>0.5778</x:v>
      </x:c>
      <x:c r="H35" s="109" t="n">
        <x:f>'School Risk'!H5</x:f>
        <x:v>0.9</x:v>
      </x:c>
      <x:c r="I35" s="109" t="n">
        <x:f>'School Risk'!I5</x:f>
        <x:v>0.5517</x:v>
      </x:c>
      <x:c r="J35" s="109" t="n">
        <x:f>'School Risk'!J5</x:f>
        <x:v>0.625</x:v>
      </x:c>
      <x:c r="K35" s="110" t="n">
        <x:f>'School Risk'!K5</x:f>
        <x:v>77.8</x:v>
      </x:c>
      <x:c r="L35" s="106" t="n">
        <x:f>'School Risk'!L5</x:f>
        <x:v>15</x:v>
      </x:c>
      <x:c r="M35" s="106" t="n">
        <x:f>'School Risk'!M5</x:f>
        <x:v>3</x:v>
      </x:c>
      <x:c r="N35" s="106" t="str">
        <x:f>'School Risk'!N5</x:f>
        <x:v>High</x:v>
      </x:c>
      <x:c r="O35" s="87"/>
      <x:c r="P35" s="87"/>
      <x:c r="Q35" s="87"/>
    </x:row>
    <x:row r="36" ht="24" customHeight="1">
      <x:c r="A36" s="105" t="str">
        <x:f>'School Risk'!A6</x:f>
        <x:v>5</x:v>
      </x:c>
      <x:c r="B36" s="83" t="str">
        <x:f>'School Risk'!C6</x:f>
        <x:v>Pine Ridge School 4</x:v>
      </x:c>
      <x:c r="C36" s="83"/>
      <x:c r="D36" s="83"/>
      <x:c r="E36" s="83" t="str">
        <x:f>'School Risk'!D6</x:f>
        <x:v>D004</x:v>
      </x:c>
      <x:c r="F36" s="107" t="n">
        <x:f>'School Risk'!F6</x:f>
        <x:v>0.87</x:v>
      </x:c>
      <x:c r="G36" s="107" t="n">
        <x:f>'School Risk'!G6</x:f>
        <x:v>0.5578</x:v>
      </x:c>
      <x:c r="H36" s="107" t="n">
        <x:f>'School Risk'!H6</x:f>
        <x:v>0.86</x:v>
      </x:c>
      <x:c r="I36" s="107" t="n">
        <x:f>'School Risk'!I6</x:f>
        <x:v>0.5294</x:v>
      </x:c>
      <x:c r="J36" s="107" t="n">
        <x:f>'School Risk'!J6</x:f>
        <x:v>0.7097</x:v>
      </x:c>
      <x:c r="K36" s="108" t="n">
        <x:f>'School Risk'!K6</x:f>
        <x:v>69.7</x:v>
      </x:c>
      <x:c r="L36" s="105" t="n">
        <x:f>'School Risk'!L6</x:f>
        <x:v>10</x:v>
      </x:c>
      <x:c r="M36" s="105" t="n">
        <x:f>'School Risk'!M6</x:f>
        <x:v>3</x:v>
      </x:c>
      <x:c r="N36" s="105" t="str">
        <x:f>'School Risk'!N6</x:f>
        <x:v>High</x:v>
      </x:c>
      <x:c r="O36" s="83"/>
      <x:c r="P36" s="83"/>
      <x:c r="Q36" s="83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 ht="24" customHeight="1">
      <x:c r="A38" s="99" t="str">
        <x:v>DECISION NOTE  •  Portfolio averages are positive, but support SLA performance is below target and risk is geographically concentrated. Prioritize a four-week recovery sprint for Summit Plains Schools 3 and 4. Score change is descriptive; this dashboard does not estimate causal impact.</x:v>
      </x:c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</x:sheetData>
  <x:mergeCells>
    <x:mergeCell ref="A1:Q1"/>
    <x:mergeCell ref="A2:Q2"/>
    <x:mergeCell ref="A4:D4"/>
    <x:mergeCell ref="A5:D6"/>
    <x:mergeCell ref="A7:D7"/>
    <x:mergeCell ref="E4:H4"/>
    <x:mergeCell ref="E5:H6"/>
    <x:mergeCell ref="E7:H7"/>
    <x:mergeCell ref="I4:L4"/>
    <x:mergeCell ref="I5:L6"/>
    <x:mergeCell ref="I7:L7"/>
    <x:mergeCell ref="M4:Q4"/>
    <x:mergeCell ref="M5:Q6"/>
    <x:mergeCell ref="M7:Q7"/>
    <x:mergeCell ref="A8:E8"/>
    <x:mergeCell ref="A9:E10"/>
    <x:mergeCell ref="A11:E11"/>
    <x:mergeCell ref="F8:J8"/>
    <x:mergeCell ref="F9:J10"/>
    <x:mergeCell ref="F11:J11"/>
    <x:mergeCell ref="K8:O8"/>
    <x:mergeCell ref="K9:O10"/>
    <x:mergeCell ref="K11:O11"/>
    <x:mergeCell ref="P8:Q11"/>
    <x:mergeCell ref="A30:Q30"/>
    <x:mergeCell ref="B31:D31"/>
    <x:mergeCell ref="N31:Q31"/>
    <x:mergeCell ref="B32:D32"/>
    <x:mergeCell ref="N32:Q32"/>
    <x:mergeCell ref="B33:D33"/>
    <x:mergeCell ref="N33:Q33"/>
    <x:mergeCell ref="B34:D34"/>
    <x:mergeCell ref="N34:Q34"/>
    <x:mergeCell ref="B35:D35"/>
    <x:mergeCell ref="N35:Q35"/>
    <x:mergeCell ref="B36:D36"/>
    <x:mergeCell ref="N36:Q36"/>
    <x:mergeCell ref="A38:Q40"/>
  </x:mergeCells>
  <x:conditionalFormatting sqref="N32:Q36">
    <x:cfRule type="containsText" dxfId="5" priority="1" operator="containsText" text="Critical"/>
    <x:cfRule type="containsText" dxfId="6" priority="2" operator="containsText" text="High"/>
  </x:conditionalFormatting>
  <x:pageMargins left="0.7" right="0.7" top="0.75" bottom="0.75" header="0.3" footer="0.3"/>
  <x:drawing xmlns:r="http://schemas.openxmlformats.org/officeDocument/2006/relationships" r:id="R33d68fd48d8447d1"/>
  <x:legacyDrawing xmlns:r="http://schemas.openxmlformats.org/officeDocument/2006/relationships" r:id="Rf33609500eee4a69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6" hidden="0" customWidth="1"/>
    <x:col min="4" max="4" width="14" hidden="0" customWidth="1"/>
    <x:col min="5" max="5" width="20" hidden="0" customWidth="1"/>
    <x:col min="6" max="6" width="27" hidden="0" customWidth="1"/>
  </x:cols>
  <x:sheetData>
    <x:row r="1" ht="34" customHeight="1">
      <x:c r="A1" s="63" t="str">
        <x:v>month_start</x:v>
      </x:c>
      <x:c r="B1" s="63" t="str">
        <x:v>enrolled_students</x:v>
      </x:c>
      <x:c r="C1" s="63" t="str">
        <x:v>active_students</x:v>
      </x:c>
      <x:c r="D1" s="63" t="str">
        <x:v>active_rate</x:v>
      </x:c>
      <x:c r="E1" s="63" t="str">
        <x:v>dosage_target_rate</x:v>
      </x:c>
      <x:c r="F1" s="63" t="str">
        <x:v>avg_minutes_per_active_student</x:v>
      </x:c>
    </x:row>
    <x:row r="2">
      <x:c r="A2" s="64" t="str">
        <x:v>2025-09-01</x:v>
      </x:c>
      <x:c r="B2" s="64" t="n">
        <x:v>3200</x:v>
      </x:c>
      <x:c r="C2" s="64" t="n">
        <x:v>2335</x:v>
      </x:c>
      <x:c r="D2" s="66" t="n">
        <x:v>0.7297</x:v>
      </x:c>
      <x:c r="E2" s="66" t="n">
        <x:v>0.5684</x:v>
      </x:c>
      <x:c r="F2" s="68" t="n">
        <x:v>82.8</x:v>
      </x:c>
    </x:row>
    <x:row r="3">
      <x:c r="A3" s="64" t="str">
        <x:v>2025-10-01</x:v>
      </x:c>
      <x:c r="B3" s="64" t="n">
        <x:v>3200</x:v>
      </x:c>
      <x:c r="C3" s="64" t="n">
        <x:v>2401</x:v>
      </x:c>
      <x:c r="D3" s="66" t="n">
        <x:v>0.7503</x:v>
      </x:c>
      <x:c r="E3" s="66" t="n">
        <x:v>0.6131</x:v>
      </x:c>
      <x:c r="F3" s="68" t="n">
        <x:v>85.5</x:v>
      </x:c>
    </x:row>
    <x:row r="4">
      <x:c r="A4" s="64" t="str">
        <x:v>2025-11-01</x:v>
      </x:c>
      <x:c r="B4" s="64" t="n">
        <x:v>3200</x:v>
      </x:c>
      <x:c r="C4" s="64" t="n">
        <x:v>2477</x:v>
      </x:c>
      <x:c r="D4" s="66" t="n">
        <x:v>0.7741</x:v>
      </x:c>
      <x:c r="E4" s="66" t="n">
        <x:v>0.6434</x:v>
      </x:c>
      <x:c r="F4" s="68" t="n">
        <x:v>87.8</x:v>
      </x:c>
    </x:row>
    <x:row r="5">
      <x:c r="A5" s="64" t="str">
        <x:v>2025-12-01</x:v>
      </x:c>
      <x:c r="B5" s="64" t="n">
        <x:v>3200</x:v>
      </x:c>
      <x:c r="C5" s="64" t="n">
        <x:v>2211</x:v>
      </x:c>
      <x:c r="D5" s="66" t="n">
        <x:v>0.6909</x:v>
      </x:c>
      <x:c r="E5" s="66" t="n">
        <x:v>0.5919</x:v>
      </x:c>
      <x:c r="F5" s="68" t="n">
        <x:v>90.3</x:v>
      </x:c>
    </x:row>
    <x:row r="6">
      <x:c r="A6" s="64" t="str">
        <x:v>2026-01-01</x:v>
      </x:c>
      <x:c r="B6" s="64" t="n">
        <x:v>3200</x:v>
      </x:c>
      <x:c r="C6" s="64" t="n">
        <x:v>2505</x:v>
      </x:c>
      <x:c r="D6" s="66" t="n">
        <x:v>0.7828</x:v>
      </x:c>
      <x:c r="E6" s="66" t="n">
        <x:v>0.6781</x:v>
      </x:c>
      <x:c r="F6" s="68" t="n">
        <x:v>93.2</x:v>
      </x:c>
    </x:row>
    <x:row r="7">
      <x:c r="A7" s="64" t="str">
        <x:v>2026-02-01</x:v>
      </x:c>
      <x:c r="B7" s="64" t="n">
        <x:v>3200</x:v>
      </x:c>
      <x:c r="C7" s="64" t="n">
        <x:v>2565</x:v>
      </x:c>
      <x:c r="D7" s="66" t="n">
        <x:v>0.8016</x:v>
      </x:c>
      <x:c r="E7" s="66" t="n">
        <x:v>0.7319</x:v>
      </x:c>
      <x:c r="F7" s="68" t="n">
        <x:v>97</x:v>
      </x:c>
    </x:row>
    <x:row r="8">
      <x:c r="A8" s="64" t="str">
        <x:v>2026-03-01</x:v>
      </x:c>
      <x:c r="B8" s="64" t="n">
        <x:v>3200</x:v>
      </x:c>
      <x:c r="C8" s="64" t="n">
        <x:v>2601</x:v>
      </x:c>
      <x:c r="D8" s="66" t="n">
        <x:v>0.8128</x:v>
      </x:c>
      <x:c r="E8" s="66" t="n">
        <x:v>0.7481</x:v>
      </x:c>
      <x:c r="F8" s="68" t="n">
        <x:v>99.9</x:v>
      </x:c>
    </x:row>
    <x:row r="9">
      <x:c r="A9" s="64" t="str">
        <x:v>2026-04-01</x:v>
      </x:c>
      <x:c r="B9" s="64" t="n">
        <x:v>3200</x:v>
      </x:c>
      <x:c r="C9" s="64" t="n">
        <x:v>2619</x:v>
      </x:c>
      <x:c r="D9" s="66" t="n">
        <x:v>0.8184</x:v>
      </x:c>
      <x:c r="E9" s="66" t="n">
        <x:v>0.7628</x:v>
      </x:c>
      <x:c r="F9" s="68" t="n">
        <x:v>102.9</x:v>
      </x:c>
    </x:row>
    <x:row r="10">
      <x:c r="A10" s="65" t="str">
        <x:v>2026-05-01</x:v>
      </x:c>
      <x:c r="B10" s="65" t="n">
        <x:v>3200</x:v>
      </x:c>
      <x:c r="C10" s="65" t="n">
        <x:v>2524</x:v>
      </x:c>
      <x:c r="D10" s="67" t="n">
        <x:v>0.7887</x:v>
      </x:c>
      <x:c r="E10" s="67" t="n">
        <x:v>0.7503</x:v>
      </x:c>
      <x:c r="F10" s="69" t="n">
        <x:v>105.5</x:v>
      </x:c>
    </x:row>
  </x:sheetData>
  <x:pageMargins left="0.7" right="0.7" top="0.75" bottom="0.75" header="0.3" footer="0.3"/>
  <x:tableParts count="1">
    <x:tablePart xmlns:r="http://schemas.openxmlformats.org/officeDocument/2006/relationships" r:id="Re09a32547ddf42f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0" hidden="0" customWidth="1"/>
    <x:col min="3" max="3" width="15" hidden="0" customWidth="1"/>
    <x:col min="4" max="4" width="15" hidden="0" customWidth="1"/>
    <x:col min="5" max="5" width="21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</x:cols>
  <x:sheetData>
    <x:row r="1" ht="34" customHeight="1">
      <x:c r="A1" s="63" t="str">
        <x:v>district_id</x:v>
      </x:c>
      <x:c r="B1" s="63" t="str">
        <x:v>district_name</x:v>
      </x:c>
      <x:c r="C1" s="63" t="str">
        <x:v>region</x:v>
      </x:c>
      <x:c r="D1" s="63" t="str">
        <x:v>locale</x:v>
      </x:c>
      <x:c r="E1" s="63" t="str">
        <x:v>implementation_tier</x:v>
      </x:c>
      <x:c r="F1" s="63" t="str">
        <x:v>students</x:v>
      </x:c>
      <x:c r="G1" s="63" t="str">
        <x:v>activation_rate</x:v>
      </x:c>
      <x:c r="H1" s="63" t="str">
        <x:v>dosage_target_rate</x:v>
      </x:c>
      <x:c r="I1" s="63" t="str">
        <x:v>followup_completion_rate</x:v>
      </x:c>
      <x:c r="J1" s="63" t="str">
        <x:v>avg_score_change</x:v>
      </x:c>
      <x:c r="K1" s="63" t="str">
        <x:v>support_sla_rate</x:v>
      </x:c>
      <x:c r="L1" s="63" t="str">
        <x:v>training_rate</x:v>
      </x:c>
      <x:c r="M1" s="63" t="str">
        <x:v>fidelity_score</x:v>
      </x:c>
      <x:c r="N1" s="63" t="str">
        <x:v>avg_data_refresh_days</x:v>
      </x:c>
      <x:c r="O1" s="63" t="str">
        <x:v>risk_score</x:v>
      </x:c>
    </x:row>
    <x:row r="2">
      <x:c r="A2" s="64" t="str">
        <x:v>D006</x:v>
      </x:c>
      <x:c r="B2" s="64" t="str">
        <x:v>Summit Plains</x:v>
      </x:c>
      <x:c r="C2" s="64" t="str">
        <x:v>West</x:v>
      </x:c>
      <x:c r="D2" s="64" t="str">
        <x:v>Rural</x:v>
      </x:c>
      <x:c r="E2" s="64" t="str">
        <x:v>Intensive support</x:v>
      </x:c>
      <x:c r="F2" s="64" t="n">
        <x:v>400</x:v>
      </x:c>
      <x:c r="G2" s="66" t="n">
        <x:v>0.81</x:v>
      </x:c>
      <x:c r="H2" s="66" t="n">
        <x:v>0.5358</x:v>
      </x:c>
      <x:c r="I2" s="66" t="n">
        <x:v>0.83</x:v>
      </x:c>
      <x:c r="J2" s="70" t="n">
        <x:v>8.09</x:v>
      </x:c>
      <x:c r="K2" s="66" t="n">
        <x:v>0.4255</x:v>
      </x:c>
      <x:c r="L2" s="66" t="n">
        <x:v>0.559</x:v>
      </x:c>
      <x:c r="M2" s="68" t="n">
        <x:v>70.2</x:v>
      </x:c>
      <x:c r="N2" s="68" t="n">
        <x:v>14.3</x:v>
      </x:c>
      <x:c r="O2" s="64" t="n">
        <x:v>3</x:v>
      </x:c>
    </x:row>
    <x:row r="3">
      <x:c r="A3" s="64" t="str">
        <x:v>D004</x:v>
      </x:c>
      <x:c r="B3" s="64" t="str">
        <x:v>Pine Ridge</x:v>
      </x:c>
      <x:c r="C3" s="64" t="str">
        <x:v>West</x:v>
      </x:c>
      <x:c r="D3" s="64" t="str">
        <x:v>Town</x:v>
      </x:c>
      <x:c r="E3" s="64" t="str">
        <x:v>Standard</x:v>
      </x:c>
      <x:c r="F3" s="64" t="n">
        <x:v>400</x:v>
      </x:c>
      <x:c r="G3" s="66" t="n">
        <x:v>0.87</x:v>
      </x:c>
      <x:c r="H3" s="66" t="n">
        <x:v>0.5911</x:v>
      </x:c>
      <x:c r="I3" s="66" t="n">
        <x:v>0.8625</x:v>
      </x:c>
      <x:c r="J3" s="70" t="n">
        <x:v>8.9</x:v>
      </x:c>
      <x:c r="K3" s="66" t="n">
        <x:v>0.6165</x:v>
      </x:c>
      <x:c r="L3" s="66" t="n">
        <x:v>0.719</x:v>
      </x:c>
      <x:c r="M3" s="68" t="n">
        <x:v>73.4</x:v>
      </x:c>
      <x:c r="N3" s="68" t="n">
        <x:v>11.3</x:v>
      </x:c>
      <x:c r="O3" s="64" t="n">
        <x:v>2</x:v>
      </x:c>
    </x:row>
    <x:row r="4">
      <x:c r="A4" s="64" t="str">
        <x:v>D008</x:v>
      </x:c>
      <x:c r="B4" s="64" t="str">
        <x:v>Willow Creek</x:v>
      </x:c>
      <x:c r="C4" s="64" t="str">
        <x:v>East</x:v>
      </x:c>
      <x:c r="D4" s="64" t="str">
        <x:v>Town</x:v>
      </x:c>
      <x:c r="E4" s="64" t="str">
        <x:v>Standard</x:v>
      </x:c>
      <x:c r="F4" s="64" t="n">
        <x:v>400</x:v>
      </x:c>
      <x:c r="G4" s="66" t="n">
        <x:v>0.915</x:v>
      </x:c>
      <x:c r="H4" s="66" t="n">
        <x:v>0.6606</x:v>
      </x:c>
      <x:c r="I4" s="66" t="n">
        <x:v>0.9</x:v>
      </x:c>
      <x:c r="J4" s="70" t="n">
        <x:v>9.16</x:v>
      </x:c>
      <x:c r="K4" s="66" t="n">
        <x:v>0.6134</x:v>
      </x:c>
      <x:c r="L4" s="66" t="n">
        <x:v>0.7822</x:v>
      </x:c>
      <x:c r="M4" s="68" t="n">
        <x:v>77.1</x:v>
      </x:c>
      <x:c r="N4" s="68" t="n">
        <x:v>11.5</x:v>
      </x:c>
      <x:c r="O4" s="64" t="n">
        <x:v>1</x:v>
      </x:c>
    </x:row>
    <x:row r="5">
      <x:c r="A5" s="64" t="str">
        <x:v>D007</x:v>
      </x:c>
      <x:c r="B5" s="64" t="str">
        <x:v>Vista Grove</x:v>
      </x:c>
      <x:c r="C5" s="64" t="str">
        <x:v>South</x:v>
      </x:c>
      <x:c r="D5" s="64" t="str">
        <x:v>Urban</x:v>
      </x:c>
      <x:c r="E5" s="64" t="str">
        <x:v>Standard</x:v>
      </x:c>
      <x:c r="F5" s="64" t="n">
        <x:v>400</x:v>
      </x:c>
      <x:c r="G5" s="66" t="n">
        <x:v>0.9275</x:v>
      </x:c>
      <x:c r="H5" s="66" t="n">
        <x:v>0.6656</x:v>
      </x:c>
      <x:c r="I5" s="66" t="n">
        <x:v>0.9</x:v>
      </x:c>
      <x:c r="J5" s="70" t="n">
        <x:v>9.31</x:v>
      </x:c>
      <x:c r="K5" s="66" t="n">
        <x:v>0.725</x:v>
      </x:c>
      <x:c r="L5" s="66" t="n">
        <x:v>0.7658</x:v>
      </x:c>
      <x:c r="M5" s="68" t="n">
        <x:v>76.7</x:v>
      </x:c>
      <x:c r="N5" s="68" t="n">
        <x:v>8.8</x:v>
      </x:c>
      <x:c r="O5" s="64" t="n">
        <x:v>1</x:v>
      </x:c>
    </x:row>
    <x:row r="6">
      <x:c r="A6" s="64" t="str">
        <x:v>D003</x:v>
      </x:c>
      <x:c r="B6" s="64" t="str">
        <x:v>Northstar</x:v>
      </x:c>
      <x:c r="C6" s="64" t="str">
        <x:v>North</x:v>
      </x:c>
      <x:c r="D6" s="64" t="str">
        <x:v>Rural</x:v>
      </x:c>
      <x:c r="E6" s="64" t="str">
        <x:v>Intensive support</x:v>
      </x:c>
      <x:c r="F6" s="64" t="n">
        <x:v>400</x:v>
      </x:c>
      <x:c r="G6" s="66" t="n">
        <x:v>0.9475</x:v>
      </x:c>
      <x:c r="H6" s="66" t="n">
        <x:v>0.6644</x:v>
      </x:c>
      <x:c r="I6" s="66" t="n">
        <x:v>0.875</x:v>
      </x:c>
      <x:c r="J6" s="70" t="n">
        <x:v>9.48</x:v>
      </x:c>
      <x:c r="K6" s="66" t="n">
        <x:v>0.6384</x:v>
      </x:c>
      <x:c r="L6" s="66" t="n">
        <x:v>0.6684</x:v>
      </x:c>
      <x:c r="M6" s="68" t="n">
        <x:v>73.8</x:v>
      </x:c>
      <x:c r="N6" s="68" t="n">
        <x:v>11</x:v>
      </x:c>
      <x:c r="O6" s="64" t="n">
        <x:v>1</x:v>
      </x:c>
    </x:row>
    <x:row r="7">
      <x:c r="A7" s="64" t="str">
        <x:v>D002</x:v>
      </x:c>
      <x:c r="B7" s="64" t="str">
        <x:v>Harbor Point</x:v>
      </x:c>
      <x:c r="C7" s="64" t="str">
        <x:v>East</x:v>
      </x:c>
      <x:c r="D7" s="64" t="str">
        <x:v>Urban</x:v>
      </x:c>
      <x:c r="E7" s="64" t="str">
        <x:v>Standard</x:v>
      </x:c>
      <x:c r="F7" s="64" t="n">
        <x:v>400</x:v>
      </x:c>
      <x:c r="G7" s="66" t="n">
        <x:v>0.9525</x:v>
      </x:c>
      <x:c r="H7" s="66" t="n">
        <x:v>0.7456</x:v>
      </x:c>
      <x:c r="I7" s="66" t="n">
        <x:v>0.93</x:v>
      </x:c>
      <x:c r="J7" s="70" t="n">
        <x:v>10.8</x:v>
      </x:c>
      <x:c r="K7" s="66" t="n">
        <x:v>0.8598</x:v>
      </x:c>
      <x:c r="L7" s="66" t="n">
        <x:v>0.8788</x:v>
      </x:c>
      <x:c r="M7" s="68" t="n">
        <x:v>83.1</x:v>
      </x:c>
      <x:c r="N7" s="68" t="n">
        <x:v>6</x:v>
      </x:c>
      <x:c r="O7" s="64" t="n">
        <x:v>0</x:v>
      </x:c>
    </x:row>
    <x:row r="8">
      <x:c r="A8" s="64" t="str">
        <x:v>D005</x:v>
      </x:c>
      <x:c r="B8" s="64" t="str">
        <x:v>Riverbend</x:v>
      </x:c>
      <x:c r="C8" s="64" t="str">
        <x:v>South</x:v>
      </x:c>
      <x:c r="D8" s="64" t="str">
        <x:v>Suburban</x:v>
      </x:c>
      <x:c r="E8" s="64" t="str">
        <x:v>Early adopter</x:v>
      </x:c>
      <x:c r="F8" s="64" t="n">
        <x:v>400</x:v>
      </x:c>
      <x:c r="G8" s="66" t="n">
        <x:v>0.9675</x:v>
      </x:c>
      <x:c r="H8" s="66" t="n">
        <x:v>0.7547</x:v>
      </x:c>
      <x:c r="I8" s="66" t="n">
        <x:v>0.94</x:v>
      </x:c>
      <x:c r="J8" s="70" t="n">
        <x:v>10.67</x:v>
      </x:c>
      <x:c r="K8" s="66" t="n">
        <x:v>0.8215</x:v>
      </x:c>
      <x:c r="L8" s="66" t="n">
        <x:v>0.8725</x:v>
      </x:c>
      <x:c r="M8" s="68" t="n">
        <x:v>83.3</x:v>
      </x:c>
      <x:c r="N8" s="68" t="n">
        <x:v>6</x:v>
      </x:c>
      <x:c r="O8" s="64" t="n">
        <x:v>0</x:v>
      </x:c>
    </x:row>
    <x:row r="9">
      <x:c r="A9" s="65" t="str">
        <x:v>D001</x:v>
      </x:c>
      <x:c r="B9" s="65" t="str">
        <x:v>Cedar Valley</x:v>
      </x:c>
      <x:c r="C9" s="65" t="str">
        <x:v>North</x:v>
      </x:c>
      <x:c r="D9" s="65" t="str">
        <x:v>Suburban</x:v>
      </x:c>
      <x:c r="E9" s="65" t="str">
        <x:v>Early adopter</x:v>
      </x:c>
      <x:c r="F9" s="65" t="n">
        <x:v>400</x:v>
      </x:c>
      <x:c r="G9" s="67" t="n">
        <x:v>0.975</x:v>
      </x:c>
      <x:c r="H9" s="67" t="n">
        <x:v>0.7939</x:v>
      </x:c>
      <x:c r="I9" s="67" t="n">
        <x:v>0.93</x:v>
      </x:c>
      <x:c r="J9" s="71" t="n">
        <x:v>10.99</x:v>
      </x:c>
      <x:c r="K9" s="67" t="n">
        <x:v>0.8519</x:v>
      </x:c>
      <x:c r="L9" s="67" t="n">
        <x:v>0.9474</x:v>
      </x:c>
      <x:c r="M9" s="69" t="n">
        <x:v>88.2</x:v>
      </x:c>
      <x:c r="N9" s="69" t="n">
        <x:v>5.3</x:v>
      </x:c>
      <x:c r="O9" s="65" t="n">
        <x:v>0</x:v>
      </x:c>
    </x:row>
  </x:sheetData>
  <x:conditionalFormatting sqref="O2:O9">
    <x:cfRule type="colorScale" priority="1">
      <x:colorScale>
        <x:cfvo type="min"/>
        <x:cfvo type="percentile" val="50"/>
        <x:cfvo type="max"/>
        <x:color rgb="FFE3F1E8"/>
        <x:color rgb="FFFFF0DE"/>
        <x:color rgb="FFF9E4E0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d95c9490823d4be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2" hidden="0" customWidth="1"/>
    <x:col min="3" max="3" width="28" hidden="0" customWidth="1"/>
    <x:col min="4" max="4" width="12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3" hidden="0" customWidth="1"/>
  </x:cols>
  <x:sheetData>
    <x:row r="1" ht="34" customHeight="1">
      <x:c r="A1" s="63" t="str">
        <x:v>intervention_priority</x:v>
      </x:c>
      <x:c r="B1" s="63" t="str">
        <x:v>school_id</x:v>
      </x:c>
      <x:c r="C1" s="63" t="str">
        <x:v>school_name</x:v>
      </x:c>
      <x:c r="D1" s="63" t="str">
        <x:v>district_id</x:v>
      </x:c>
      <x:c r="E1" s="63" t="str">
        <x:v>students</x:v>
      </x:c>
      <x:c r="F1" s="63" t="str">
        <x:v>activation_rate</x:v>
      </x:c>
      <x:c r="G1" s="63" t="str">
        <x:v>dosage_target_rate</x:v>
      </x:c>
      <x:c r="H1" s="63" t="str">
        <x:v>followup_completion_rate</x:v>
      </x:c>
      <x:c r="I1" s="63" t="str">
        <x:v>support_sla_rate</x:v>
      </x:c>
      <x:c r="J1" s="63" t="str">
        <x:v>training_rate</x:v>
      </x:c>
      <x:c r="K1" s="63" t="str">
        <x:v>fidelity_score</x:v>
      </x:c>
      <x:c r="L1" s="63" t="str">
        <x:v>data_refresh_days</x:v>
      </x:c>
      <x:c r="M1" s="63" t="str">
        <x:v>risk_score</x:v>
      </x:c>
      <x:c r="N1" s="63" t="str">
        <x:v>risk_band</x:v>
      </x:c>
    </x:row>
    <x:row r="2">
      <x:c r="A2" s="64" t="str">
        <x:v>1</x:v>
      </x:c>
      <x:c r="B2" s="64" t="str">
        <x:v>S0064</x:v>
      </x:c>
      <x:c r="C2" s="64" t="str">
        <x:v>Summit Plains School 4</x:v>
      </x:c>
      <x:c r="D2" s="64" t="str">
        <x:v>D006</x:v>
      </x:c>
      <x:c r="E2" s="64" t="n">
        <x:v>100</x:v>
      </x:c>
      <x:c r="F2" s="66" t="n">
        <x:v>0.77</x:v>
      </x:c>
      <x:c r="G2" s="66" t="n">
        <x:v>0.4967</x:v>
      </x:c>
      <x:c r="H2" s="66" t="n">
        <x:v>0.78</x:v>
      </x:c>
      <x:c r="I2" s="66" t="n">
        <x:v>0.3929</x:v>
      </x:c>
      <x:c r="J2" s="66" t="n">
        <x:v>0.5</x:v>
      </x:c>
      <x:c r="K2" s="68" t="n">
        <x:v>66</x:v>
      </x:c>
      <x:c r="L2" s="64" t="n">
        <x:v>16</x:v>
      </x:c>
      <x:c r="M2" s="64" t="n">
        <x:v>5</x:v>
      </x:c>
      <x:c r="N2" s="64" t="str">
        <x:v>Critical</x:v>
      </x:c>
    </x:row>
    <x:row r="3">
      <x:c r="A3" s="64" t="str">
        <x:v>2</x:v>
      </x:c>
      <x:c r="B3" s="64" t="str">
        <x:v>S0042</x:v>
      </x:c>
      <x:c r="C3" s="64" t="str">
        <x:v>Pine Ridge School 2</x:v>
      </x:c>
      <x:c r="D3" s="64" t="str">
        <x:v>D004</x:v>
      </x:c>
      <x:c r="E3" s="64" t="n">
        <x:v>100</x:v>
      </x:c>
      <x:c r="F3" s="66" t="n">
        <x:v>0.79</x:v>
      </x:c>
      <x:c r="G3" s="66" t="n">
        <x:v>0.5856</x:v>
      </x:c>
      <x:c r="H3" s="66" t="n">
        <x:v>0.87</x:v>
      </x:c>
      <x:c r="I3" s="66" t="n">
        <x:v>0.6316</x:v>
      </x:c>
      <x:c r="J3" s="66" t="n">
        <x:v>0.6923</x:v>
      </x:c>
      <x:c r="K3" s="68" t="n">
        <x:v>67.9</x:v>
      </x:c>
      <x:c r="L3" s="64" t="n">
        <x:v>15</x:v>
      </x:c>
      <x:c r="M3" s="64" t="n">
        <x:v>4</x:v>
      </x:c>
      <x:c r="N3" s="64" t="str">
        <x:v>Critical</x:v>
      </x:c>
    </x:row>
    <x:row r="4">
      <x:c r="A4" s="64" t="str">
        <x:v>3</x:v>
      </x:c>
      <x:c r="B4" s="64" t="str">
        <x:v>S0063</x:v>
      </x:c>
      <x:c r="C4" s="64" t="str">
        <x:v>Summit Plains School 3</x:v>
      </x:c>
      <x:c r="D4" s="64" t="str">
        <x:v>D006</x:v>
      </x:c>
      <x:c r="E4" s="64" t="n">
        <x:v>100</x:v>
      </x:c>
      <x:c r="F4" s="66" t="n">
        <x:v>0.83</x:v>
      </x:c>
      <x:c r="G4" s="66" t="n">
        <x:v>0.51</x:v>
      </x:c>
      <x:c r="H4" s="66" t="n">
        <x:v>0.81</x:v>
      </x:c>
      <x:c r="I4" s="66" t="n">
        <x:v>0.4242</x:v>
      </x:c>
      <x:c r="J4" s="66" t="n">
        <x:v>0.52</x:v>
      </x:c>
      <x:c r="K4" s="68" t="n">
        <x:v>66.9</x:v>
      </x:c>
      <x:c r="L4" s="64" t="n">
        <x:v>15</x:v>
      </x:c>
      <x:c r="M4" s="64" t="n">
        <x:v>4</x:v>
      </x:c>
      <x:c r="N4" s="64" t="str">
        <x:v>Critical</x:v>
      </x:c>
    </x:row>
    <x:row r="5">
      <x:c r="A5" s="64" t="str">
        <x:v>4</x:v>
      </x:c>
      <x:c r="B5" s="64" t="str">
        <x:v>S0062</x:v>
      </x:c>
      <x:c r="C5" s="64" t="str">
        <x:v>Summit Plains School 2</x:v>
      </x:c>
      <x:c r="D5" s="64" t="str">
        <x:v>D006</x:v>
      </x:c>
      <x:c r="E5" s="64" t="n">
        <x:v>100</x:v>
      </x:c>
      <x:c r="F5" s="66" t="n">
        <x:v>0.82</x:v>
      </x:c>
      <x:c r="G5" s="66" t="n">
        <x:v>0.5778</x:v>
      </x:c>
      <x:c r="H5" s="66" t="n">
        <x:v>0.9</x:v>
      </x:c>
      <x:c r="I5" s="66" t="n">
        <x:v>0.5517</x:v>
      </x:c>
      <x:c r="J5" s="66" t="n">
        <x:v>0.625</x:v>
      </x:c>
      <x:c r="K5" s="68" t="n">
        <x:v>77.8</x:v>
      </x:c>
      <x:c r="L5" s="64" t="n">
        <x:v>15</x:v>
      </x:c>
      <x:c r="M5" s="64" t="n">
        <x:v>3</x:v>
      </x:c>
      <x:c r="N5" s="64" t="str">
        <x:v>High</x:v>
      </x:c>
    </x:row>
    <x:row r="6">
      <x:c r="A6" s="64" t="str">
        <x:v>5</x:v>
      </x:c>
      <x:c r="B6" s="64" t="str">
        <x:v>S0044</x:v>
      </x:c>
      <x:c r="C6" s="64" t="str">
        <x:v>Pine Ridge School 4</x:v>
      </x:c>
      <x:c r="D6" s="64" t="str">
        <x:v>D004</x:v>
      </x:c>
      <x:c r="E6" s="64" t="n">
        <x:v>100</x:v>
      </x:c>
      <x:c r="F6" s="66" t="n">
        <x:v>0.87</x:v>
      </x:c>
      <x:c r="G6" s="66" t="n">
        <x:v>0.5578</x:v>
      </x:c>
      <x:c r="H6" s="66" t="n">
        <x:v>0.86</x:v>
      </x:c>
      <x:c r="I6" s="66" t="n">
        <x:v>0.5294</x:v>
      </x:c>
      <x:c r="J6" s="66" t="n">
        <x:v>0.7097</x:v>
      </x:c>
      <x:c r="K6" s="68" t="n">
        <x:v>69.7</x:v>
      </x:c>
      <x:c r="L6" s="64" t="n">
        <x:v>10</x:v>
      </x:c>
      <x:c r="M6" s="64" t="n">
        <x:v>3</x:v>
      </x:c>
      <x:c r="N6" s="64" t="str">
        <x:v>High</x:v>
      </x:c>
    </x:row>
    <x:row r="7">
      <x:c r="A7" s="64" t="str">
        <x:v>6</x:v>
      </x:c>
      <x:c r="B7" s="64" t="str">
        <x:v>S0061</x:v>
      </x:c>
      <x:c r="C7" s="64" t="str">
        <x:v>Summit Plains School 1</x:v>
      </x:c>
      <x:c r="D7" s="64" t="str">
        <x:v>D006</x:v>
      </x:c>
      <x:c r="E7" s="64" t="n">
        <x:v>100</x:v>
      </x:c>
      <x:c r="F7" s="66" t="n">
        <x:v>0.82</x:v>
      </x:c>
      <x:c r="G7" s="66" t="n">
        <x:v>0.5589</x:v>
      </x:c>
      <x:c r="H7" s="66" t="n">
        <x:v>0.83</x:v>
      </x:c>
      <x:c r="I7" s="66" t="n">
        <x:v>0.3333</x:v>
      </x:c>
      <x:c r="J7" s="66" t="n">
        <x:v>0.5909</x:v>
      </x:c>
      <x:c r="K7" s="68" t="n">
        <x:v>70.2</x:v>
      </x:c>
      <x:c r="L7" s="64" t="n">
        <x:v>11</x:v>
      </x:c>
      <x:c r="M7" s="64" t="n">
        <x:v>2</x:v>
      </x:c>
      <x:c r="N7" s="64" t="str">
        <x:v>Watch</x:v>
      </x:c>
    </x:row>
    <x:row r="8">
      <x:c r="A8" s="64" t="str">
        <x:v>7</x:v>
      </x:c>
      <x:c r="B8" s="64" t="str">
        <x:v>S0083</x:v>
      </x:c>
      <x:c r="C8" s="64" t="str">
        <x:v>Willow Creek School 3</x:v>
      </x:c>
      <x:c r="D8" s="64" t="str">
        <x:v>D008</x:v>
      </x:c>
      <x:c r="E8" s="64" t="n">
        <x:v>100</x:v>
      </x:c>
      <x:c r="F8" s="66" t="n">
        <x:v>0.89</x:v>
      </x:c>
      <x:c r="G8" s="66" t="n">
        <x:v>0.6744</x:v>
      </x:c>
      <x:c r="H8" s="66" t="n">
        <x:v>0.91</x:v>
      </x:c>
      <x:c r="I8" s="66" t="n">
        <x:v>0.6316</x:v>
      </x:c>
      <x:c r="J8" s="66" t="n">
        <x:v>0.8</x:v>
      </x:c>
      <x:c r="K8" s="68" t="n">
        <x:v>78.3</x:v>
      </x:c>
      <x:c r="L8" s="64" t="n">
        <x:v>17</x:v>
      </x:c>
      <x:c r="M8" s="64" t="n">
        <x:v>2</x:v>
      </x:c>
      <x:c r="N8" s="64" t="str">
        <x:v>Watch</x:v>
      </x:c>
    </x:row>
    <x:row r="9">
      <x:c r="A9" s="64" t="str">
        <x:v>8</x:v>
      </x:c>
      <x:c r="B9" s="64" t="str">
        <x:v>S0043</x:v>
      </x:c>
      <x:c r="C9" s="64" t="str">
        <x:v>Pine Ridge School 3</x:v>
      </x:c>
      <x:c r="D9" s="64" t="str">
        <x:v>D004</x:v>
      </x:c>
      <x:c r="E9" s="64" t="n">
        <x:v>100</x:v>
      </x:c>
      <x:c r="F9" s="66" t="n">
        <x:v>0.92</x:v>
      </x:c>
      <x:c r="G9" s="66" t="n">
        <x:v>0.5867</x:v>
      </x:c>
      <x:c r="H9" s="66" t="n">
        <x:v>0.86</x:v>
      </x:c>
      <x:c r="I9" s="66" t="n">
        <x:v>0.5909</x:v>
      </x:c>
      <x:c r="J9" s="66" t="n">
        <x:v>0.7241</x:v>
      </x:c>
      <x:c r="K9" s="68" t="n">
        <x:v>77.3</x:v>
      </x:c>
      <x:c r="L9" s="64" t="n">
        <x:v>10</x:v>
      </x:c>
      <x:c r="M9" s="64" t="n">
        <x:v>2</x:v>
      </x:c>
      <x:c r="N9" s="64" t="str">
        <x:v>Watch</x:v>
      </x:c>
    </x:row>
    <x:row r="10">
      <x:c r="A10" s="64" t="str">
        <x:v>9</x:v>
      </x:c>
      <x:c r="B10" s="64" t="str">
        <x:v>S0034</x:v>
      </x:c>
      <x:c r="C10" s="64" t="str">
        <x:v>Northstar School 4</x:v>
      </x:c>
      <x:c r="D10" s="64" t="str">
        <x:v>D003</x:v>
      </x:c>
      <x:c r="E10" s="64" t="n">
        <x:v>100</x:v>
      </x:c>
      <x:c r="F10" s="66" t="n">
        <x:v>0.95</x:v>
      </x:c>
      <x:c r="G10" s="66" t="n">
        <x:v>0.6522</x:v>
      </x:c>
      <x:c r="H10" s="66" t="n">
        <x:v>0.87</x:v>
      </x:c>
      <x:c r="I10" s="66" t="n">
        <x:v>0.4375</x:v>
      </x:c>
      <x:c r="J10" s="66" t="n">
        <x:v>0.6</x:v>
      </x:c>
      <x:c r="K10" s="68" t="n">
        <x:v>68.3</x:v>
      </x:c>
      <x:c r="L10" s="64" t="n">
        <x:v>12</x:v>
      </x:c>
      <x:c r="M10" s="64" t="n">
        <x:v>2</x:v>
      </x:c>
      <x:c r="N10" s="64" t="str">
        <x:v>Watch</x:v>
      </x:c>
    </x:row>
    <x:row r="11">
      <x:c r="A11" s="64" t="str">
        <x:v>10</x:v>
      </x:c>
      <x:c r="B11" s="64" t="str">
        <x:v>S0082</x:v>
      </x:c>
      <x:c r="C11" s="64" t="str">
        <x:v>Willow Creek School 2</x:v>
      </x:c>
      <x:c r="D11" s="64" t="str">
        <x:v>D008</x:v>
      </x:c>
      <x:c r="E11" s="64" t="n">
        <x:v>100</x:v>
      </x:c>
      <x:c r="F11" s="66" t="n">
        <x:v>0.96</x:v>
      </x:c>
      <x:c r="G11" s="66" t="n">
        <x:v>0.6456</x:v>
      </x:c>
      <x:c r="H11" s="66" t="n">
        <x:v>0.87</x:v>
      </x:c>
      <x:c r="I11" s="66" t="n">
        <x:v>0.6667</x:v>
      </x:c>
      <x:c r="J11" s="66" t="n">
        <x:v>0.7222</x:v>
      </x:c>
      <x:c r="K11" s="68" t="n">
        <x:v>73.3</x:v>
      </x:c>
      <x:c r="L11" s="64" t="n">
        <x:v>15</x:v>
      </x:c>
      <x:c r="M11" s="64" t="n">
        <x:v>2</x:v>
      </x:c>
      <x:c r="N11" s="64" t="str">
        <x:v>Watch</x:v>
      </x:c>
    </x:row>
    <x:row r="12">
      <x:c r="A12" s="64" t="str">
        <x:v>11</x:v>
      </x:c>
      <x:c r="B12" s="64" t="str">
        <x:v>S0041</x:v>
      </x:c>
      <x:c r="C12" s="64" t="str">
        <x:v>Pine Ridge School 1</x:v>
      </x:c>
      <x:c r="D12" s="64" t="str">
        <x:v>D004</x:v>
      </x:c>
      <x:c r="E12" s="64" t="n">
        <x:v>100</x:v>
      </x:c>
      <x:c r="F12" s="66" t="n">
        <x:v>0.9</x:v>
      </x:c>
      <x:c r="G12" s="66" t="n">
        <x:v>0.6344</x:v>
      </x:c>
      <x:c r="H12" s="66" t="n">
        <x:v>0.86</x:v>
      </x:c>
      <x:c r="I12" s="66" t="n">
        <x:v>0.7143</x:v>
      </x:c>
      <x:c r="J12" s="66" t="n">
        <x:v>0.75</x:v>
      </x:c>
      <x:c r="K12" s="68" t="n">
        <x:v>78.6</x:v>
      </x:c>
      <x:c r="L12" s="64" t="n">
        <x:v>10</x:v>
      </x:c>
      <x:c r="M12" s="64" t="n">
        <x:v>1</x:v>
      </x:c>
      <x:c r="N12" s="64" t="str">
        <x:v>Stable</x:v>
      </x:c>
    </x:row>
    <x:row r="13">
      <x:c r="A13" s="64" t="str">
        <x:v>12</x:v>
      </x:c>
      <x:c r="B13" s="64" t="str">
        <x:v>S0084</x:v>
      </x:c>
      <x:c r="C13" s="64" t="str">
        <x:v>Willow Creek School 4</x:v>
      </x:c>
      <x:c r="D13" s="64" t="str">
        <x:v>D008</x:v>
      </x:c>
      <x:c r="E13" s="64" t="n">
        <x:v>100</x:v>
      </x:c>
      <x:c r="F13" s="66" t="n">
        <x:v>0.9</x:v>
      </x:c>
      <x:c r="G13" s="66" t="n">
        <x:v>0.6833</x:v>
      </x:c>
      <x:c r="H13" s="66" t="n">
        <x:v>0.92</x:v>
      </x:c>
      <x:c r="I13" s="66" t="n">
        <x:v>0.6316</x:v>
      </x:c>
      <x:c r="J13" s="66" t="n">
        <x:v>0.84</x:v>
      </x:c>
      <x:c r="K13" s="68" t="n">
        <x:v>79.7</x:v>
      </x:c>
      <x:c r="L13" s="64" t="n">
        <x:v>6</x:v>
      </x:c>
      <x:c r="M13" s="64" t="n">
        <x:v>1</x:v>
      </x:c>
      <x:c r="N13" s="64" t="str">
        <x:v>Stable</x:v>
      </x:c>
    </x:row>
    <x:row r="14">
      <x:c r="A14" s="64" t="str">
        <x:v>13</x:v>
      </x:c>
      <x:c r="B14" s="64" t="str">
        <x:v>S0072</x:v>
      </x:c>
      <x:c r="C14" s="64" t="str">
        <x:v>Vista Grove School 2</x:v>
      </x:c>
      <x:c r="D14" s="64" t="str">
        <x:v>D007</x:v>
      </x:c>
      <x:c r="E14" s="64" t="n">
        <x:v>100</x:v>
      </x:c>
      <x:c r="F14" s="66" t="n">
        <x:v>0.91</x:v>
      </x:c>
      <x:c r="G14" s="66" t="n">
        <x:v>0.6522</x:v>
      </x:c>
      <x:c r="H14" s="66" t="n">
        <x:v>0.93</x:v>
      </x:c>
      <x:c r="I14" s="66" t="n">
        <x:v>0.7222</x:v>
      </x:c>
      <x:c r="J14" s="66" t="n">
        <x:v>0.75</x:v>
      </x:c>
      <x:c r="K14" s="68" t="n">
        <x:v>72.5</x:v>
      </x:c>
      <x:c r="L14" s="64" t="n">
        <x:v>7</x:v>
      </x:c>
      <x:c r="M14" s="64" t="n">
        <x:v>1</x:v>
      </x:c>
      <x:c r="N14" s="64" t="str">
        <x:v>Stable</x:v>
      </x:c>
    </x:row>
    <x:row r="15">
      <x:c r="A15" s="64" t="str">
        <x:v>14</x:v>
      </x:c>
      <x:c r="B15" s="64" t="str">
        <x:v>S0081</x:v>
      </x:c>
      <x:c r="C15" s="64" t="str">
        <x:v>Willow Creek School 1</x:v>
      </x:c>
      <x:c r="D15" s="64" t="str">
        <x:v>D008</x:v>
      </x:c>
      <x:c r="E15" s="64" t="n">
        <x:v>100</x:v>
      </x:c>
      <x:c r="F15" s="66" t="n">
        <x:v>0.91</x:v>
      </x:c>
      <x:c r="G15" s="66" t="n">
        <x:v>0.6389</x:v>
      </x:c>
      <x:c r="H15" s="66" t="n">
        <x:v>0.9</x:v>
      </x:c>
      <x:c r="I15" s="66" t="n">
        <x:v>0.5238</x:v>
      </x:c>
      <x:c r="J15" s="66" t="n">
        <x:v>0.7667</x:v>
      </x:c>
      <x:c r="K15" s="68" t="n">
        <x:v>77</x:v>
      </x:c>
      <x:c r="L15" s="64" t="n">
        <x:v>8</x:v>
      </x:c>
      <x:c r="M15" s="64" t="n">
        <x:v>1</x:v>
      </x:c>
      <x:c r="N15" s="64" t="str">
        <x:v>Stable</x:v>
      </x:c>
    </x:row>
    <x:row r="16">
      <x:c r="A16" s="64" t="str">
        <x:v>15</x:v>
      </x:c>
      <x:c r="B16" s="64" t="str">
        <x:v>S0033</x:v>
      </x:c>
      <x:c r="C16" s="64" t="str">
        <x:v>Northstar School 3</x:v>
      </x:c>
      <x:c r="D16" s="64" t="str">
        <x:v>D003</x:v>
      </x:c>
      <x:c r="E16" s="64" t="n">
        <x:v>100</x:v>
      </x:c>
      <x:c r="F16" s="66" t="n">
        <x:v>0.93</x:v>
      </x:c>
      <x:c r="G16" s="66" t="n">
        <x:v>0.71</x:v>
      </x:c>
      <x:c r="H16" s="66" t="n">
        <x:v>0.91</x:v>
      </x:c>
      <x:c r="I16" s="66" t="n">
        <x:v>0.6667</x:v>
      </x:c>
      <x:c r="J16" s="66" t="n">
        <x:v>0.7143</x:v>
      </x:c>
      <x:c r="K16" s="68" t="n">
        <x:v>70.8</x:v>
      </x:c>
      <x:c r="L16" s="64" t="n">
        <x:v>9</x:v>
      </x:c>
      <x:c r="M16" s="64" t="n">
        <x:v>1</x:v>
      </x:c>
      <x:c r="N16" s="64" t="str">
        <x:v>Stable</x:v>
      </x:c>
    </x:row>
    <x:row r="17">
      <x:c r="A17" s="64" t="str">
        <x:v>16</x:v>
      </x:c>
      <x:c r="B17" s="64" t="str">
        <x:v>S0031</x:v>
      </x:c>
      <x:c r="C17" s="64" t="str">
        <x:v>Northstar School 1</x:v>
      </x:c>
      <x:c r="D17" s="64" t="str">
        <x:v>D003</x:v>
      </x:c>
      <x:c r="E17" s="64" t="n">
        <x:v>100</x:v>
      </x:c>
      <x:c r="F17" s="66" t="n">
        <x:v>0.95</x:v>
      </x:c>
      <x:c r="G17" s="66" t="n">
        <x:v>0.6656</x:v>
      </x:c>
      <x:c r="H17" s="66" t="n">
        <x:v>0.88</x:v>
      </x:c>
      <x:c r="I17" s="66" t="n">
        <x:v>0.7826</x:v>
      </x:c>
      <x:c r="J17" s="66" t="n">
        <x:v>0.7143</x:v>
      </x:c>
      <x:c r="K17" s="68" t="n">
        <x:v>75.4</x:v>
      </x:c>
      <x:c r="L17" s="64" t="n">
        <x:v>13</x:v>
      </x:c>
      <x:c r="M17" s="64" t="n">
        <x:v>1</x:v>
      </x:c>
      <x:c r="N17" s="64" t="str">
        <x:v>Stable</x:v>
      </x:c>
    </x:row>
    <x:row r="18">
      <x:c r="A18" s="64" t="str">
        <x:v>17</x:v>
      </x:c>
      <x:c r="B18" s="64" t="str">
        <x:v>S0054</x:v>
      </x:c>
      <x:c r="C18" s="64" t="str">
        <x:v>Riverbend School 4</x:v>
      </x:c>
      <x:c r="D18" s="64" t="str">
        <x:v>D005</x:v>
      </x:c>
      <x:c r="E18" s="64" t="n">
        <x:v>100</x:v>
      </x:c>
      <x:c r="F18" s="66" t="n">
        <x:v>0.95</x:v>
      </x:c>
      <x:c r="G18" s="66" t="n">
        <x:v>0.7278</x:v>
      </x:c>
      <x:c r="H18" s="66" t="n">
        <x:v>0.96</x:v>
      </x:c>
      <x:c r="I18" s="66" t="n">
        <x:v>0.6667</x:v>
      </x:c>
      <x:c r="J18" s="66" t="n">
        <x:v>0.875</x:v>
      </x:c>
      <x:c r="K18" s="68" t="n">
        <x:v>86.6</x:v>
      </x:c>
      <x:c r="L18" s="64" t="n">
        <x:v>8</x:v>
      </x:c>
      <x:c r="M18" s="64" t="n">
        <x:v>1</x:v>
      </x:c>
      <x:c r="N18" s="64" t="str">
        <x:v>Stable</x:v>
      </x:c>
    </x:row>
    <x:row r="19">
      <x:c r="A19" s="64" t="str">
        <x:v>18</x:v>
      </x:c>
      <x:c r="B19" s="64" t="str">
        <x:v>S0074</x:v>
      </x:c>
      <x:c r="C19" s="64" t="str">
        <x:v>Vista Grove School 4</x:v>
      </x:c>
      <x:c r="D19" s="64" t="str">
        <x:v>D007</x:v>
      </x:c>
      <x:c r="E19" s="64" t="n">
        <x:v>100</x:v>
      </x:c>
      <x:c r="F19" s="66" t="n">
        <x:v>0.95</x:v>
      </x:c>
      <x:c r="G19" s="66" t="n">
        <x:v>0.6267</x:v>
      </x:c>
      <x:c r="H19" s="66" t="n">
        <x:v>0.93</x:v>
      </x:c>
      <x:c r="I19" s="66" t="n">
        <x:v>0.6</x:v>
      </x:c>
      <x:c r="J19" s="66" t="n">
        <x:v>0.7586</x:v>
      </x:c>
      <x:c r="K19" s="68" t="n">
        <x:v>75.7</x:v>
      </x:c>
      <x:c r="L19" s="64" t="n">
        <x:v>10</x:v>
      </x:c>
      <x:c r="M19" s="64" t="n">
        <x:v>1</x:v>
      </x:c>
      <x:c r="N19" s="64" t="str">
        <x:v>Stable</x:v>
      </x:c>
    </x:row>
    <x:row r="20">
      <x:c r="A20" s="64" t="str">
        <x:v>19</x:v>
      </x:c>
      <x:c r="B20" s="64" t="str">
        <x:v>S0021</x:v>
      </x:c>
      <x:c r="C20" s="64" t="str">
        <x:v>Harbor Point School 1</x:v>
      </x:c>
      <x:c r="D20" s="64" t="str">
        <x:v>D002</x:v>
      </x:c>
      <x:c r="E20" s="64" t="n">
        <x:v>100</x:v>
      </x:c>
      <x:c r="F20" s="66" t="n">
        <x:v>0.96</x:v>
      </x:c>
      <x:c r="G20" s="66" t="n">
        <x:v>0.7556</x:v>
      </x:c>
      <x:c r="H20" s="66" t="n">
        <x:v>0.92</x:v>
      </x:c>
      <x:c r="I20" s="66" t="n">
        <x:v>0.7619</x:v>
      </x:c>
      <x:c r="J20" s="66" t="n">
        <x:v>0.871</x:v>
      </x:c>
      <x:c r="K20" s="68" t="n">
        <x:v>86.8</x:v>
      </x:c>
      <x:c r="L20" s="64" t="n">
        <x:v>12</x:v>
      </x:c>
      <x:c r="M20" s="64" t="n">
        <x:v>1</x:v>
      </x:c>
      <x:c r="N20" s="64" t="str">
        <x:v>Stable</x:v>
      </x:c>
    </x:row>
    <x:row r="21">
      <x:c r="A21" s="64" t="str">
        <x:v>20</x:v>
      </x:c>
      <x:c r="B21" s="64" t="str">
        <x:v>S0032</x:v>
      </x:c>
      <x:c r="C21" s="64" t="str">
        <x:v>Northstar School 2</x:v>
      </x:c>
      <x:c r="D21" s="64" t="str">
        <x:v>D003</x:v>
      </x:c>
      <x:c r="E21" s="64" t="n">
        <x:v>100</x:v>
      </x:c>
      <x:c r="F21" s="66" t="n">
        <x:v>0.96</x:v>
      </x:c>
      <x:c r="G21" s="66" t="n">
        <x:v>0.63</x:v>
      </x:c>
      <x:c r="H21" s="66" t="n">
        <x:v>0.84</x:v>
      </x:c>
      <x:c r="I21" s="66" t="n">
        <x:v>0.6667</x:v>
      </x:c>
      <x:c r="J21" s="66" t="n">
        <x:v>0.6452</x:v>
      </x:c>
      <x:c r="K21" s="68" t="n">
        <x:v>80.7</x:v>
      </x:c>
      <x:c r="L21" s="64" t="n">
        <x:v>10</x:v>
      </x:c>
      <x:c r="M21" s="64" t="n">
        <x:v>1</x:v>
      </x:c>
      <x:c r="N21" s="64" t="str">
        <x:v>Stable</x:v>
      </x:c>
    </x:row>
    <x:row r="22">
      <x:c r="A22" s="64" t="str">
        <x:v>21</x:v>
      </x:c>
      <x:c r="B22" s="64" t="str">
        <x:v>S0073</x:v>
      </x:c>
      <x:c r="C22" s="64" t="str">
        <x:v>Vista Grove School 3</x:v>
      </x:c>
      <x:c r="D22" s="64" t="str">
        <x:v>D007</x:v>
      </x:c>
      <x:c r="E22" s="64" t="n">
        <x:v>100</x:v>
      </x:c>
      <x:c r="F22" s="66" t="n">
        <x:v>0.98</x:v>
      </x:c>
      <x:c r="G22" s="66" t="n">
        <x:v>0.7622</x:v>
      </x:c>
      <x:c r="H22" s="66" t="n">
        <x:v>0.84</x:v>
      </x:c>
      <x:c r="I22" s="66" t="n">
        <x:v>0.7778</x:v>
      </x:c>
      <x:c r="J22" s="66" t="n">
        <x:v>0.8125</x:v>
      </x:c>
      <x:c r="K22" s="68" t="n">
        <x:v>78.8</x:v>
      </x:c>
      <x:c r="L22" s="64" t="n">
        <x:v>8</x:v>
      </x:c>
      <x:c r="M22" s="64" t="n">
        <x:v>1</x:v>
      </x:c>
      <x:c r="N22" s="64" t="str">
        <x:v>Stable</x:v>
      </x:c>
    </x:row>
    <x:row r="23">
      <x:c r="A23" s="64" t="str">
        <x:v>22</x:v>
      </x:c>
      <x:c r="B23" s="64" t="str">
        <x:v>S0071</x:v>
      </x:c>
      <x:c r="C23" s="64" t="str">
        <x:v>Vista Grove School 1</x:v>
      </x:c>
      <x:c r="D23" s="64" t="str">
        <x:v>D007</x:v>
      </x:c>
      <x:c r="E23" s="64" t="n">
        <x:v>100</x:v>
      </x:c>
      <x:c r="F23" s="66" t="n">
        <x:v>0.87</x:v>
      </x:c>
      <x:c r="G23" s="66" t="n">
        <x:v>0.6211</x:v>
      </x:c>
      <x:c r="H23" s="66" t="n">
        <x:v>0.9</x:v>
      </x:c>
      <x:c r="I23" s="66" t="n">
        <x:v>0.8</x:v>
      </x:c>
      <x:c r="J23" s="66" t="n">
        <x:v>0.7419</x:v>
      </x:c>
      <x:c r="K23" s="68" t="n">
        <x:v>79.8</x:v>
      </x:c>
      <x:c r="L23" s="64" t="n">
        <x:v>10</x:v>
      </x:c>
      <x:c r="M23" s="64" t="n">
        <x:v>0</x:v>
      </x:c>
      <x:c r="N23" s="64" t="str">
        <x:v>Stable</x:v>
      </x:c>
    </x:row>
    <x:row r="24">
      <x:c r="A24" s="64" t="str">
        <x:v>23</x:v>
      </x:c>
      <x:c r="B24" s="64" t="str">
        <x:v>S0023</x:v>
      </x:c>
      <x:c r="C24" s="64" t="str">
        <x:v>Harbor Point School 3</x:v>
      </x:c>
      <x:c r="D24" s="64" t="str">
        <x:v>D002</x:v>
      </x:c>
      <x:c r="E24" s="64" t="n">
        <x:v>100</x:v>
      </x:c>
      <x:c r="F24" s="66" t="n">
        <x:v>0.93</x:v>
      </x:c>
      <x:c r="G24" s="66" t="n">
        <x:v>0.7144</x:v>
      </x:c>
      <x:c r="H24" s="66" t="n">
        <x:v>0.95</x:v>
      </x:c>
      <x:c r="I24" s="66" t="n">
        <x:v>0.85</x:v>
      </x:c>
      <x:c r="J24" s="66" t="n">
        <x:v>0.8421</x:v>
      </x:c>
      <x:c r="K24" s="68" t="n">
        <x:v>72.9</x:v>
      </x:c>
      <x:c r="L24" s="64" t="n">
        <x:v>3</x:v>
      </x:c>
      <x:c r="M24" s="64" t="n">
        <x:v>0</x:v>
      </x:c>
      <x:c r="N24" s="64" t="str">
        <x:v>Stable</x:v>
      </x:c>
    </x:row>
    <x:row r="25">
      <x:c r="A25" s="64" t="str">
        <x:v>24</x:v>
      </x:c>
      <x:c r="B25" s="64" t="str">
        <x:v>S0011</x:v>
      </x:c>
      <x:c r="C25" s="64" t="str">
        <x:v>Cedar Valley School 1</x:v>
      </x:c>
      <x:c r="D25" s="64" t="str">
        <x:v>D001</x:v>
      </x:c>
      <x:c r="E25" s="64" t="n">
        <x:v>100</x:v>
      </x:c>
      <x:c r="F25" s="66" t="n">
        <x:v>0.95</x:v>
      </x:c>
      <x:c r="G25" s="66" t="n">
        <x:v>0.7478</x:v>
      </x:c>
      <x:c r="H25" s="66" t="n">
        <x:v>0.95</x:v>
      </x:c>
      <x:c r="I25" s="66" t="n">
        <x:v>0.8421</x:v>
      </x:c>
      <x:c r="J25" s="66" t="n">
        <x:v>0.9091</x:v>
      </x:c>
      <x:c r="K25" s="68" t="n">
        <x:v>89.1</x:v>
      </x:c>
      <x:c r="L25" s="64" t="n">
        <x:v>6</x:v>
      </x:c>
      <x:c r="M25" s="64" t="n">
        <x:v>0</x:v>
      </x:c>
      <x:c r="N25" s="64" t="str">
        <x:v>Stable</x:v>
      </x:c>
    </x:row>
    <x:row r="26">
      <x:c r="A26" s="64" t="str">
        <x:v>25</x:v>
      </x:c>
      <x:c r="B26" s="64" t="str">
        <x:v>S0024</x:v>
      </x:c>
      <x:c r="C26" s="64" t="str">
        <x:v>Harbor Point School 4</x:v>
      </x:c>
      <x:c r="D26" s="64" t="str">
        <x:v>D002</x:v>
      </x:c>
      <x:c r="E26" s="64" t="n">
        <x:v>100</x:v>
      </x:c>
      <x:c r="F26" s="66" t="n">
        <x:v>0.95</x:v>
      </x:c>
      <x:c r="G26" s="66" t="n">
        <x:v>0.7322</x:v>
      </x:c>
      <x:c r="H26" s="66" t="n">
        <x:v>0.93</x:v>
      </x:c>
      <x:c r="I26" s="66" t="n">
        <x:v>0.9524</x:v>
      </x:c>
      <x:c r="J26" s="66" t="n">
        <x:v>0.8929</x:v>
      </x:c>
      <x:c r="K26" s="68" t="n">
        <x:v>84.1</x:v>
      </x:c>
      <x:c r="L26" s="64" t="n">
        <x:v>3</x:v>
      </x:c>
      <x:c r="M26" s="64" t="n">
        <x:v>0</x:v>
      </x:c>
      <x:c r="N26" s="64" t="str">
        <x:v>Stable</x:v>
      </x:c>
    </x:row>
    <x:row r="27">
      <x:c r="A27" s="64" t="str">
        <x:v>26</x:v>
      </x:c>
      <x:c r="B27" s="64" t="str">
        <x:v>S0051</x:v>
      </x:c>
      <x:c r="C27" s="64" t="str">
        <x:v>Riverbend School 1</x:v>
      </x:c>
      <x:c r="D27" s="64" t="str">
        <x:v>D005</x:v>
      </x:c>
      <x:c r="E27" s="64" t="n">
        <x:v>100</x:v>
      </x:c>
      <x:c r="F27" s="66" t="n">
        <x:v>0.96</x:v>
      </x:c>
      <x:c r="G27" s="66" t="n">
        <x:v>0.6967</x:v>
      </x:c>
      <x:c r="H27" s="66" t="n">
        <x:v>0.96</x:v>
      </x:c>
      <x:c r="I27" s="66" t="n">
        <x:v>0.8</x:v>
      </x:c>
      <x:c r="J27" s="66" t="n">
        <x:v>0.8276</x:v>
      </x:c>
      <x:c r="K27" s="68" t="n">
        <x:v>83.2</x:v>
      </x:c>
      <x:c r="L27" s="64" t="n">
        <x:v>8</x:v>
      </x:c>
      <x:c r="M27" s="64" t="n">
        <x:v>0</x:v>
      </x:c>
      <x:c r="N27" s="64" t="str">
        <x:v>Stable</x:v>
      </x:c>
    </x:row>
    <x:row r="28">
      <x:c r="A28" s="64" t="str">
        <x:v>27</x:v>
      </x:c>
      <x:c r="B28" s="64" t="str">
        <x:v>S0022</x:v>
      </x:c>
      <x:c r="C28" s="64" t="str">
        <x:v>Harbor Point School 2</x:v>
      </x:c>
      <x:c r="D28" s="64" t="str">
        <x:v>D002</x:v>
      </x:c>
      <x:c r="E28" s="64" t="n">
        <x:v>100</x:v>
      </x:c>
      <x:c r="F28" s="66" t="n">
        <x:v>0.97</x:v>
      </x:c>
      <x:c r="G28" s="66" t="n">
        <x:v>0.78</x:v>
      </x:c>
      <x:c r="H28" s="66" t="n">
        <x:v>0.92</x:v>
      </x:c>
      <x:c r="I28" s="66" t="n">
        <x:v>0.875</x:v>
      </x:c>
      <x:c r="J28" s="66" t="n">
        <x:v>0.9091</x:v>
      </x:c>
      <x:c r="K28" s="68" t="n">
        <x:v>88.6</x:v>
      </x:c>
      <x:c r="L28" s="64" t="n">
        <x:v>6</x:v>
      </x:c>
      <x:c r="M28" s="64" t="n">
        <x:v>0</x:v>
      </x:c>
      <x:c r="N28" s="64" t="str">
        <x:v>Stable</x:v>
      </x:c>
    </x:row>
    <x:row r="29">
      <x:c r="A29" s="64" t="str">
        <x:v>28</x:v>
      </x:c>
      <x:c r="B29" s="64" t="str">
        <x:v>S0052</x:v>
      </x:c>
      <x:c r="C29" s="64" t="str">
        <x:v>Riverbend School 2</x:v>
      </x:c>
      <x:c r="D29" s="64" t="str">
        <x:v>D005</x:v>
      </x:c>
      <x:c r="E29" s="64" t="n">
        <x:v>100</x:v>
      </x:c>
      <x:c r="F29" s="66" t="n">
        <x:v>0.97</x:v>
      </x:c>
      <x:c r="G29" s="66" t="n">
        <x:v>0.7822</x:v>
      </x:c>
      <x:c r="H29" s="66" t="n">
        <x:v>0.94</x:v>
      </x:c>
      <x:c r="I29" s="66" t="n">
        <x:v>0.9444</x:v>
      </x:c>
      <x:c r="J29" s="66" t="n">
        <x:v>0.8947</x:v>
      </x:c>
      <x:c r="K29" s="68" t="n">
        <x:v>78.7</x:v>
      </x:c>
      <x:c r="L29" s="64" t="n">
        <x:v>3</x:v>
      </x:c>
      <x:c r="M29" s="64" t="n">
        <x:v>0</x:v>
      </x:c>
      <x:c r="N29" s="64" t="str">
        <x:v>Stable</x:v>
      </x:c>
    </x:row>
    <x:row r="30">
      <x:c r="A30" s="64" t="str">
        <x:v>29</x:v>
      </x:c>
      <x:c r="B30" s="64" t="str">
        <x:v>S0012</x:v>
      </x:c>
      <x:c r="C30" s="64" t="str">
        <x:v>Cedar Valley School 2</x:v>
      </x:c>
      <x:c r="D30" s="64" t="str">
        <x:v>D001</x:v>
      </x:c>
      <x:c r="E30" s="64" t="n">
        <x:v>100</x:v>
      </x:c>
      <x:c r="F30" s="66" t="n">
        <x:v>0.98</x:v>
      </x:c>
      <x:c r="G30" s="66" t="n">
        <x:v>0.8167</x:v>
      </x:c>
      <x:c r="H30" s="66" t="n">
        <x:v>0.92</x:v>
      </x:c>
      <x:c r="I30" s="66" t="n">
        <x:v>0.85</x:v>
      </x:c>
      <x:c r="J30" s="66" t="n">
        <x:v>1</x:v>
      </x:c>
      <x:c r="K30" s="68" t="n">
        <x:v>87.8</x:v>
      </x:c>
      <x:c r="L30" s="64" t="n">
        <x:v>2</x:v>
      </x:c>
      <x:c r="M30" s="64" t="n">
        <x:v>0</x:v>
      </x:c>
      <x:c r="N30" s="64" t="str">
        <x:v>Stable</x:v>
      </x:c>
    </x:row>
    <x:row r="31">
      <x:c r="A31" s="64" t="str">
        <x:v>30</x:v>
      </x:c>
      <x:c r="B31" s="64" t="str">
        <x:v>S0014</x:v>
      </x:c>
      <x:c r="C31" s="64" t="str">
        <x:v>Cedar Valley School 4</x:v>
      </x:c>
      <x:c r="D31" s="64" t="str">
        <x:v>D001</x:v>
      </x:c>
      <x:c r="E31" s="64" t="n">
        <x:v>100</x:v>
      </x:c>
      <x:c r="F31" s="66" t="n">
        <x:v>0.98</x:v>
      </x:c>
      <x:c r="G31" s="66" t="n">
        <x:v>0.79</x:v>
      </x:c>
      <x:c r="H31" s="66" t="n">
        <x:v>0.93</x:v>
      </x:c>
      <x:c r="I31" s="66" t="n">
        <x:v>0.8333</x:v>
      </x:c>
      <x:c r="J31" s="66" t="n">
        <x:v>0.9259</x:v>
      </x:c>
      <x:c r="K31" s="68" t="n">
        <x:v>91.9</x:v>
      </x:c>
      <x:c r="L31" s="64" t="n">
        <x:v>3</x:v>
      </x:c>
      <x:c r="M31" s="64" t="n">
        <x:v>0</x:v>
      </x:c>
      <x:c r="N31" s="64" t="str">
        <x:v>Stable</x:v>
      </x:c>
    </x:row>
    <x:row r="32">
      <x:c r="A32" s="64" t="str">
        <x:v>31</x:v>
      </x:c>
      <x:c r="B32" s="64" t="str">
        <x:v>S0013</x:v>
      </x:c>
      <x:c r="C32" s="64" t="str">
        <x:v>Cedar Valley School 3</x:v>
      </x:c>
      <x:c r="D32" s="64" t="str">
        <x:v>D001</x:v>
      </x:c>
      <x:c r="E32" s="64" t="n">
        <x:v>100</x:v>
      </x:c>
      <x:c r="F32" s="66" t="n">
        <x:v>0.99</x:v>
      </x:c>
      <x:c r="G32" s="66" t="n">
        <x:v>0.8211</x:v>
      </x:c>
      <x:c r="H32" s="66" t="n">
        <x:v>0.92</x:v>
      </x:c>
      <x:c r="I32" s="66" t="n">
        <x:v>0.8824</x:v>
      </x:c>
      <x:c r="J32" s="66" t="n">
        <x:v>0.9545</x:v>
      </x:c>
      <x:c r="K32" s="68" t="n">
        <x:v>84</x:v>
      </x:c>
      <x:c r="L32" s="64" t="n">
        <x:v>10</x:v>
      </x:c>
      <x:c r="M32" s="64" t="n">
        <x:v>0</x:v>
      </x:c>
      <x:c r="N32" s="64" t="str">
        <x:v>Stable</x:v>
      </x:c>
    </x:row>
    <x:row r="33">
      <x:c r="A33" s="65" t="str">
        <x:v>32</x:v>
      </x:c>
      <x:c r="B33" s="65" t="str">
        <x:v>S0053</x:v>
      </x:c>
      <x:c r="C33" s="65" t="str">
        <x:v>Riverbend School 3</x:v>
      </x:c>
      <x:c r="D33" s="65" t="str">
        <x:v>D005</x:v>
      </x:c>
      <x:c r="E33" s="65" t="n">
        <x:v>100</x:v>
      </x:c>
      <x:c r="F33" s="67" t="n">
        <x:v>0.99</x:v>
      </x:c>
      <x:c r="G33" s="67" t="n">
        <x:v>0.8122</x:v>
      </x:c>
      <x:c r="H33" s="67" t="n">
        <x:v>0.9</x:v>
      </x:c>
      <x:c r="I33" s="67" t="n">
        <x:v>0.875</x:v>
      </x:c>
      <x:c r="J33" s="67" t="n">
        <x:v>0.8929</x:v>
      </x:c>
      <x:c r="K33" s="69" t="n">
        <x:v>84.8</x:v>
      </x:c>
      <x:c r="L33" s="65" t="n">
        <x:v>5</x:v>
      </x:c>
      <x:c r="M33" s="65" t="n">
        <x:v>0</x:v>
      </x:c>
      <x:c r="N33" s="65" t="str">
        <x:v>Stable</x:v>
      </x:c>
    </x:row>
  </x:sheetData>
  <x:conditionalFormatting sqref="M2:M33">
    <x:cfRule type="colorScale" priority="1">
      <x:colorScale>
        <x:cfvo type="min"/>
        <x:cfvo type="percentile" val="50"/>
        <x:cfvo type="max"/>
        <x:color rgb="FFE3F1E8"/>
        <x:color rgb="FFFFF0DE"/>
        <x:color rgb="FFF9E4E0"/>
      </x:colorScale>
    </x:cfRule>
  </x:conditionalFormatting>
  <x:conditionalFormatting sqref="N2:N33">
    <x:cfRule type="containsText" dxfId="0" priority="2" operator="containsText" text="Critical"/>
    <x:cfRule type="containsText" dxfId="1" priority="3" operator="containsText" text="High"/>
  </x:conditionalFormatting>
  <x:pageMargins left="0.7" right="0.7" top="0.75" bottom="0.75" header="0.3" footer="0.3"/>
  <x:tableParts count="1">
    <x:tablePart xmlns:r="http://schemas.openxmlformats.org/officeDocument/2006/relationships" r:id="Rb70ec63ff68c4c5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1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</x:cols>
  <x:sheetData>
    <x:row r="1" ht="34" customHeight="1">
      <x:c r="A1" s="63" t="str">
        <x:v>segment_dimension</x:v>
      </x:c>
      <x:c r="B1" s="63" t="str">
        <x:v>segment</x:v>
      </x:c>
      <x:c r="C1" s="63" t="str">
        <x:v>students</x:v>
      </x:c>
      <x:c r="D1" s="63" t="str">
        <x:v>followup_completion_rate</x:v>
      </x:c>
      <x:c r="E1" s="63" t="str">
        <x:v>avg_baseline_score</x:v>
      </x:c>
      <x:c r="F1" s="63" t="str">
        <x:v>avg_followup_score</x:v>
      </x:c>
      <x:c r="G1" s="63" t="str">
        <x:v>avg_score_change</x:v>
      </x:c>
    </x:row>
    <x:row r="2">
      <x:c r="A2" s="64" t="str">
        <x:v>District locale</x:v>
      </x:c>
      <x:c r="B2" s="64" t="str">
        <x:v>Rural</x:v>
      </x:c>
      <x:c r="C2" s="64" t="n">
        <x:v>800</x:v>
      </x:c>
      <x:c r="D2" s="66" t="n">
        <x:v>0.8525</x:v>
      </x:c>
      <x:c r="E2" s="72" t="n">
        <x:v>49.99</x:v>
      </x:c>
      <x:c r="F2" s="72" t="n">
        <x:v>58.79</x:v>
      </x:c>
      <x:c r="G2" s="72" t="n">
        <x:v>8.81</x:v>
      </x:c>
    </x:row>
    <x:row r="3">
      <x:c r="A3" s="64" t="str">
        <x:v>District locale</x:v>
      </x:c>
      <x:c r="B3" s="64" t="str">
        <x:v>Suburban</x:v>
      </x:c>
      <x:c r="C3" s="64" t="n">
        <x:v>800</x:v>
      </x:c>
      <x:c r="D3" s="66" t="n">
        <x:v>0.935</x:v>
      </x:c>
      <x:c r="E3" s="72" t="n">
        <x:v>50.71</x:v>
      </x:c>
      <x:c r="F3" s="72" t="n">
        <x:v>61.5</x:v>
      </x:c>
      <x:c r="G3" s="72" t="n">
        <x:v>10.83</x:v>
      </x:c>
    </x:row>
    <x:row r="4">
      <x:c r="A4" s="64" t="str">
        <x:v>District locale</x:v>
      </x:c>
      <x:c r="B4" s="64" t="str">
        <x:v>Town</x:v>
      </x:c>
      <x:c r="C4" s="64" t="n">
        <x:v>800</x:v>
      </x:c>
      <x:c r="D4" s="66" t="n">
        <x:v>0.8812</x:v>
      </x:c>
      <x:c r="E4" s="72" t="n">
        <x:v>50.66</x:v>
      </x:c>
      <x:c r="F4" s="72" t="n">
        <x:v>59.68</x:v>
      </x:c>
      <x:c r="G4" s="72" t="n">
        <x:v>9.03</x:v>
      </x:c>
    </x:row>
    <x:row r="5">
      <x:c r="A5" s="64" t="str">
        <x:v>District locale</x:v>
      </x:c>
      <x:c r="B5" s="64" t="str">
        <x:v>Urban</x:v>
      </x:c>
      <x:c r="C5" s="64" t="n">
        <x:v>800</x:v>
      </x:c>
      <x:c r="D5" s="66" t="n">
        <x:v>0.915</x:v>
      </x:c>
      <x:c r="E5" s="72" t="n">
        <x:v>50.12</x:v>
      </x:c>
      <x:c r="F5" s="72" t="n">
        <x:v>60.12</x:v>
      </x:c>
      <x:c r="G5" s="72" t="n">
        <x:v>10.07</x:v>
      </x:c>
    </x:row>
    <x:row r="6">
      <x:c r="A6" s="64" t="str">
        <x:v>Grade level</x:v>
      </x:c>
      <x:c r="B6" s="64" t="str">
        <x:v>Grade 3</x:v>
      </x:c>
      <x:c r="C6" s="64" t="n">
        <x:v>536</x:v>
      </x:c>
      <x:c r="D6" s="66" t="n">
        <x:v>0.9086</x:v>
      </x:c>
      <x:c r="E6" s="72" t="n">
        <x:v>46.69</x:v>
      </x:c>
      <x:c r="F6" s="72" t="n">
        <x:v>56.35</x:v>
      </x:c>
      <x:c r="G6" s="72" t="n">
        <x:v>9.6</x:v>
      </x:c>
    </x:row>
    <x:row r="7">
      <x:c r="A7" s="64" t="str">
        <x:v>Grade level</x:v>
      </x:c>
      <x:c r="B7" s="64" t="str">
        <x:v>Grade 4</x:v>
      </x:c>
      <x:c r="C7" s="64" t="n">
        <x:v>545</x:v>
      </x:c>
      <x:c r="D7" s="66" t="n">
        <x:v>0.8972</x:v>
      </x:c>
      <x:c r="E7" s="72" t="n">
        <x:v>49.43</x:v>
      </x:c>
      <x:c r="F7" s="72" t="n">
        <x:v>59.45</x:v>
      </x:c>
      <x:c r="G7" s="72" t="n">
        <x:v>9.99</x:v>
      </x:c>
    </x:row>
    <x:row r="8">
      <x:c r="A8" s="64" t="str">
        <x:v>Grade level</x:v>
      </x:c>
      <x:c r="B8" s="64" t="str">
        <x:v>Grade 5</x:v>
      </x:c>
      <x:c r="C8" s="64" t="n">
        <x:v>519</x:v>
      </x:c>
      <x:c r="D8" s="66" t="n">
        <x:v>0.8921</x:v>
      </x:c>
      <x:c r="E8" s="72" t="n">
        <x:v>49.96</x:v>
      </x:c>
      <x:c r="F8" s="72" t="n">
        <x:v>59.77</x:v>
      </x:c>
      <x:c r="G8" s="72" t="n">
        <x:v>9.86</x:v>
      </x:c>
    </x:row>
    <x:row r="9">
      <x:c r="A9" s="64" t="str">
        <x:v>Grade level</x:v>
      </x:c>
      <x:c r="B9" s="64" t="str">
        <x:v>Grade 6</x:v>
      </x:c>
      <x:c r="C9" s="64" t="n">
        <x:v>530</x:v>
      </x:c>
      <x:c r="D9" s="66" t="n">
        <x:v>0.9113</x:v>
      </x:c>
      <x:c r="E9" s="72" t="n">
        <x:v>50.57</x:v>
      </x:c>
      <x:c r="F9" s="72" t="n">
        <x:v>60.27</x:v>
      </x:c>
      <x:c r="G9" s="72" t="n">
        <x:v>9.68</x:v>
      </x:c>
    </x:row>
    <x:row r="10">
      <x:c r="A10" s="64" t="str">
        <x:v>Grade level</x:v>
      </x:c>
      <x:c r="B10" s="64" t="str">
        <x:v>Grade 7</x:v>
      </x:c>
      <x:c r="C10" s="64" t="n">
        <x:v>506</x:v>
      </x:c>
      <x:c r="D10" s="66" t="n">
        <x:v>0.8538</x:v>
      </x:c>
      <x:c r="E10" s="72" t="n">
        <x:v>52.54</x:v>
      </x:c>
      <x:c r="F10" s="72" t="n">
        <x:v>61.44</x:v>
      </x:c>
      <x:c r="G10" s="72" t="n">
        <x:v>9.14</x:v>
      </x:c>
    </x:row>
    <x:row r="11">
      <x:c r="A11" s="64" t="str">
        <x:v>Grade level</x:v>
      </x:c>
      <x:c r="B11" s="64" t="str">
        <x:v>Grade 8</x:v>
      </x:c>
      <x:c r="C11" s="64" t="n">
        <x:v>564</x:v>
      </x:c>
      <x:c r="D11" s="66" t="n">
        <x:v>0.9096</x:v>
      </x:c>
      <x:c r="E11" s="72" t="n">
        <x:v>53.02</x:v>
      </x:c>
      <x:c r="F11" s="72" t="n">
        <x:v>63.03</x:v>
      </x:c>
      <x:c r="G11" s="72" t="n">
        <x:v>9.92</x:v>
      </x:c>
    </x:row>
    <x:row r="12">
      <x:c r="A12" s="64" t="str">
        <x:v>Implementation tier</x:v>
      </x:c>
      <x:c r="B12" s="64" t="str">
        <x:v>Early adopter</x:v>
      </x:c>
      <x:c r="C12" s="64" t="n">
        <x:v>800</x:v>
      </x:c>
      <x:c r="D12" s="66" t="n">
        <x:v>0.935</x:v>
      </x:c>
      <x:c r="E12" s="72" t="n">
        <x:v>50.71</x:v>
      </x:c>
      <x:c r="F12" s="72" t="n">
        <x:v>61.5</x:v>
      </x:c>
      <x:c r="G12" s="72" t="n">
        <x:v>10.83</x:v>
      </x:c>
    </x:row>
    <x:row r="13">
      <x:c r="A13" s="64" t="str">
        <x:v>Implementation tier</x:v>
      </x:c>
      <x:c r="B13" s="64" t="str">
        <x:v>Intensive support</x:v>
      </x:c>
      <x:c r="C13" s="64" t="n">
        <x:v>800</x:v>
      </x:c>
      <x:c r="D13" s="66" t="n">
        <x:v>0.8525</x:v>
      </x:c>
      <x:c r="E13" s="72" t="n">
        <x:v>49.99</x:v>
      </x:c>
      <x:c r="F13" s="72" t="n">
        <x:v>58.79</x:v>
      </x:c>
      <x:c r="G13" s="72" t="n">
        <x:v>8.81</x:v>
      </x:c>
    </x:row>
    <x:row r="14">
      <x:c r="A14" s="65" t="str">
        <x:v>Implementation tier</x:v>
      </x:c>
      <x:c r="B14" s="65" t="str">
        <x:v>Standard</x:v>
      </x:c>
      <x:c r="C14" s="65" t="n">
        <x:v>1600</x:v>
      </x:c>
      <x:c r="D14" s="67" t="n">
        <x:v>0.8981</x:v>
      </x:c>
      <x:c r="E14" s="73" t="n">
        <x:v>50.39</x:v>
      </x:c>
      <x:c r="F14" s="73" t="n">
        <x:v>59.9</x:v>
      </x:c>
      <x:c r="G14" s="73" t="n">
        <x:v>9.56</x:v>
      </x:c>
    </x:row>
  </x:sheetData>
  <x:pageMargins left="0.7" right="0.7" top="0.75" bottom="0.75" header="0.3" footer="0.3"/>
  <x:tableParts count="1">
    <x:tablePart xmlns:r="http://schemas.openxmlformats.org/officeDocument/2006/relationships" r:id="Rdeb6b2c6ebcf48c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6" hidden="0" customWidth="1"/>
    <x:col min="3" max="3" width="12" hidden="0" customWidth="1"/>
  </x:cols>
  <x:sheetData>
    <x:row r="1" ht="34" customHeight="1">
      <x:c r="A1" s="63" t="str">
        <x:v>quality_rule</x:v>
      </x:c>
      <x:c r="B1" s="63" t="str">
        <x:v>failing_records</x:v>
      </x:c>
      <x:c r="C1" s="63" t="str">
        <x:v>status</x:v>
      </x:c>
    </x:row>
    <x:row r="2">
      <x:c r="A2" s="64" t="str">
        <x:v>Duplicate student identifiers</x:v>
      </x:c>
      <x:c r="B2" s="64" t="n">
        <x:v>0</x:v>
      </x:c>
      <x:c r="C2" s="64" t="str">
        <x:v>PASS</x:v>
      </x:c>
    </x:row>
    <x:row r="3">
      <x:c r="A3" s="64" t="str">
        <x:v>Duplicate student-month records</x:v>
      </x:c>
      <x:c r="B3" s="64" t="n">
        <x:v>0</x:v>
      </x:c>
      <x:c r="C3" s="64" t="str">
        <x:v>PASS</x:v>
      </x:c>
    </x:row>
    <x:row r="4">
      <x:c r="A4" s="64" t="str">
        <x:v>Engagement rows without a student</x:v>
      </x:c>
      <x:c r="B4" s="64" t="n">
        <x:v>0</x:v>
      </x:c>
      <x:c r="C4" s="64" t="str">
        <x:v>PASS</x:v>
      </x:c>
    </x:row>
    <x:row r="5">
      <x:c r="A5" s="64" t="str">
        <x:v>Invalid engagement values</x:v>
      </x:c>
      <x:c r="B5" s="64" t="n">
        <x:v>0</x:v>
      </x:c>
      <x:c r="C5" s="64" t="str">
        <x:v>PASS</x:v>
      </x:c>
    </x:row>
    <x:row r="6">
      <x:c r="A6" s="64" t="str">
        <x:v>Invalid assessment scores</x:v>
      </x:c>
      <x:c r="B6" s="64" t="n">
        <x:v>0</x:v>
      </x:c>
      <x:c r="C6" s="64" t="str">
        <x:v>PASS</x:v>
      </x:c>
    </x:row>
    <x:row r="7">
      <x:c r="A7" s="64" t="str">
        <x:v>Support tickets without a school</x:v>
      </x:c>
      <x:c r="B7" s="64" t="n">
        <x:v>0</x:v>
      </x:c>
      <x:c r="C7" s="64" t="str">
        <x:v>PASS</x:v>
      </x:c>
    </x:row>
    <x:row r="8">
      <x:c r="A8" s="65" t="str">
        <x:v>Schools missing implementation status</x:v>
      </x:c>
      <x:c r="B8" s="65" t="n">
        <x:v>0</x:v>
      </x:c>
      <x:c r="C8" s="65" t="str">
        <x:v>PASS</x:v>
      </x:c>
    </x:row>
  </x:sheetData>
  <x:conditionalFormatting sqref="C2:C8">
    <x:cfRule type="containsText" dxfId="2" priority="1" operator="containsText" text="PASS"/>
  </x:conditionalFormatting>
  <x:pageMargins left="0.7" right="0.7" top="0.75" bottom="0.75" header="0.3" footer="0.3"/>
  <x:tableParts count="1">
    <x:tablePart xmlns:r="http://schemas.openxmlformats.org/officeDocument/2006/relationships" r:id="R5e0cde79a2fb40c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34" customHeight="1">
      <x:c r="A1" s="63" t="str">
        <x:v>eligible_students</x:v>
      </x:c>
      <x:c r="B1" s="63" t="str">
        <x:v>activated_students</x:v>
      </x:c>
      <x:c r="C1" s="63" t="str">
        <x:v>activation_rate</x:v>
      </x:c>
      <x:c r="D1" s="63" t="str">
        <x:v>dosage_target_rate</x:v>
      </x:c>
      <x:c r="E1" s="63" t="str">
        <x:v>followup_completion_rate</x:v>
      </x:c>
      <x:c r="F1" s="63" t="str">
        <x:v>avg_score_change</x:v>
      </x:c>
      <x:c r="G1" s="63" t="str">
        <x:v>support_sla_rate</x:v>
      </x:c>
      <x:c r="H1" s="63" t="str">
        <x:v>high_risk_schools</x:v>
      </x:c>
    </x:row>
    <x:row r="2">
      <x:c r="A2" s="65" t="str">
        <x:v>3200</x:v>
      </x:c>
      <x:c r="B2" s="65" t="n">
        <x:v>2946</x:v>
      </x:c>
      <x:c r="C2" s="67" t="n">
        <x:v>0.9206</x:v>
      </x:c>
      <x:c r="D2" s="67" t="n">
        <x:v>0.6765</x:v>
      </x:c>
      <x:c r="E2" s="67" t="n">
        <x:v>0.8959</x:v>
      </x:c>
      <x:c r="F2" s="73" t="n">
        <x:v>9.71</x:v>
      </x:c>
      <x:c r="G2" s="67" t="n">
        <x:v>0.681</x:v>
      </x:c>
      <x:c r="H2" s="65" t="n">
        <x:v>5</x:v>
      </x:c>
    </x:row>
  </x:sheetData>
  <x:pageMargins left="0.7" right="0.7" top="0.75" bottom="0.75" header="0.3" footer="0.3"/>
  <x:tableParts count="1">
    <x:tablePart xmlns:r="http://schemas.openxmlformats.org/officeDocument/2006/relationships" r:id="R5f465f59c9924aa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8" hidden="0" customWidth="1"/>
    <x:col min="3" max="3" width="12" hidden="0" customWidth="1"/>
    <x:col min="4" max="4" width="40" hidden="0" customWidth="1"/>
  </x:cols>
  <x:sheetData>
    <x:row r="1" ht="30" customHeight="1">
      <x:c r="A1" s="58" t="str">
        <x:v>Metric</x:v>
      </x:c>
      <x:c r="B1" s="58" t="str">
        <x:v>Definition</x:v>
      </x:c>
      <x:c r="C1" s="58" t="str">
        <x:v>Target</x:v>
      </x:c>
      <x:c r="D1" s="58" t="str">
        <x:v>Caveat</x:v>
      </x:c>
    </x:row>
    <x:row r="2" ht="38" customHeight="1">
      <x:c r="A2" s="75" t="str">
        <x:v>60-day activation</x:v>
      </x:c>
      <x:c r="B2" s="75" t="str">
        <x:v>Any activity during September or October 2025</x:v>
      </x:c>
      <x:c r="C2" s="75" t="str">
        <x:v>≥75%</x:v>
      </x:c>
      <x:c r="D2" s="75" t="str">
        <x:v>Does not imply sustained use</x:v>
      </x:c>
    </x:row>
    <x:row r="3" ht="38" customHeight="1">
      <x:c r="A3" s="75" t="str">
        <x:v>Dosage target</x:v>
      </x:c>
      <x:c r="B3" s="75" t="str">
        <x:v>Student-month with at least 60 minutes</x:v>
      </x:c>
      <x:c r="C3" s="75" t="str">
        <x:v>≥60%</x:v>
      </x:c>
      <x:c r="D3" s="75" t="str">
        <x:v>Monthly threshold is operational, not causal</x:v>
      </x:c>
    </x:row>
    <x:row r="4" ht="38" customHeight="1">
      <x:c r="A4" s="75" t="str">
        <x:v>Follow-up completion</x:v>
      </x:c>
      <x:c r="B4" s="75" t="str">
        <x:v>Student has a valid follow-up assessment</x:v>
      </x:c>
      <x:c r="C4" s="75" t="str">
        <x:v>≥80%</x:v>
      </x:c>
      <x:c r="D4" s="75" t="str">
        <x:v>Missingness may be systematic</x:v>
      </x:c>
    </x:row>
    <x:row r="5" ht="38" customHeight="1">
      <x:c r="A5" s="75" t="str">
        <x:v>Average score change</x:v>
      </x:c>
      <x:c r="B5" s="75" t="str">
        <x:v>Mean follow-up minus baseline among paired records</x:v>
      </x:c>
      <x:c r="C5" s="75" t="str">
        <x:v>&gt;0</x:v>
      </x:c>
      <x:c r="D5" s="75" t="str">
        <x:v>Descriptive without a comparison group</x:v>
      </x:c>
    </x:row>
    <x:row r="6" ht="38" customHeight="1">
      <x:c r="A6" s="75" t="str">
        <x:v>Support SLA</x:v>
      </x:c>
      <x:c r="B6" s="75" t="str">
        <x:v>Ticket receives initial response within 24 hours</x:v>
      </x:c>
      <x:c r="C6" s="75" t="str">
        <x:v>≥80%</x:v>
      </x:c>
      <x:c r="D6" s="75" t="str">
        <x:v>Not adjusted for ticket complexity</x:v>
      </x:c>
    </x:row>
    <x:row r="7" ht="38" customHeight="1">
      <x:c r="A7" s="75" t="str">
        <x:v>Risk score</x:v>
      </x:c>
      <x:c r="B7" s="75" t="str">
        <x:v>Count of six transparent thresholds missed</x:v>
      </x:c>
      <x:c r="C7" s="75" t="str">
        <x:v>&lt;3</x:v>
      </x:c>
      <x:c r="D7" s="75" t="str">
        <x:v>Triage rule, not a predictive model</x:v>
      </x:c>
    </x:row>
  </x:sheetData>
  <x:pageMargins left="0.7" right="0.7" top="0.75" bottom="0.75" header="0.3" footer="0.3"/>
  <x:tableParts count="1">
    <x:tablePart xmlns:r="http://schemas.openxmlformats.org/officeDocument/2006/relationships" r:id="R6d094f46116c44e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</x:cols>
  <x:sheetData>
    <x:row r="1" ht="34" customHeight="1">
      <x:c r="A1" s="4" t="str">
        <x:v>STUDENT SUCCESS OPERATIONS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24" customHeight="1">
      <x:c r="A2" s="7" t="str">
        <x:v>Implementation monitor  •  School-level prioritization and support capacity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>
      <x:c r="A4" s="44" t="str">
        <x:v>CRITICAL SCHOOLS</x:v>
      </x:c>
      <x:c r="B4" s="45" t="str">
        <x:v>CRITICAL SCHOOLS</x:v>
      </x:c>
      <x:c r="C4" s="45" t="str">
        <x:v>CRITICAL SCHOOLS</x:v>
      </x:c>
      <x:c r="D4" s="45" t="str">
        <x:v>CRITICAL SCHOOLS</x:v>
      </x:c>
      <x:c r="E4" s="46" t="str">
        <x:v>CRITICAL SCHOOLS</x:v>
      </x:c>
      <x:c r="F4" s="44" t="str">
        <x:v>HIGH-RISK SCHOOLS</x:v>
      </x:c>
      <x:c r="G4" s="45" t="str">
        <x:v>HIGH-RISK SCHOOLS</x:v>
      </x:c>
      <x:c r="H4" s="45" t="str">
        <x:v>HIGH-RISK SCHOOLS</x:v>
      </x:c>
      <x:c r="I4" s="45" t="str">
        <x:v>HIGH-RISK SCHOOLS</x:v>
      </x:c>
      <x:c r="J4" s="46" t="str">
        <x:v>HIGH-RISK SCHOOLS</x:v>
      </x:c>
      <x:c r="K4" s="44" t="str">
        <x:v>PORTFOLIO SUPPORT SLA</x:v>
      </x:c>
      <x:c r="L4" s="45" t="str">
        <x:v>PORTFOLIO SUPPORT SLA</x:v>
      </x:c>
      <x:c r="M4" s="45" t="str">
        <x:v>PORTFOLIO SUPPORT SLA</x:v>
      </x:c>
      <x:c r="N4" s="45" t="str">
        <x:v>PORTFOLIO SUPPORT SLA</x:v>
      </x:c>
      <x:c r="O4" s="46" t="str">
        <x:v>PORTFOLIO SUPPORT SLA</x:v>
      </x:c>
      <x:c r="P4" s="57" t="str">
        <x:v>PRIORITY
Training and support response are the clearest controllable constraints.</x:v>
      </x:c>
      <x:c r="Q4" s="1"/>
    </x:row>
    <x:row r="5">
      <x:c r="A5" s="51" t="n">
        <x:f>COUNTIF('School Risk'!N2:N33,"Critical")</x:f>
        <x:v>3</x:v>
      </x:c>
      <x:c r="B5" s="1"/>
      <x:c r="C5" s="1"/>
      <x:c r="D5" s="1"/>
      <x:c r="E5" s="23"/>
      <x:c r="F5" s="51" t="n">
        <x:f>'KPI Data'!H2</x:f>
        <x:v>5</x:v>
      </x:c>
      <x:c r="G5" s="1"/>
      <x:c r="H5" s="1"/>
      <x:c r="I5" s="1"/>
      <x:c r="J5" s="23"/>
      <x:c r="K5" s="47" t="n">
        <x:f>'KPI Data'!G2</x:f>
        <x:v>0.681</x:v>
      </x:c>
      <x:c r="L5" s="1"/>
      <x:c r="M5" s="1"/>
      <x:c r="N5" s="1"/>
      <x:c r="O5" s="23"/>
      <x:c r="P5" s="1"/>
      <x:c r="Q5" s="1"/>
    </x:row>
    <x:row r="6">
      <x:c r="A6" s="24"/>
      <x:c r="B6" s="1"/>
      <x:c r="C6" s="1"/>
      <x:c r="D6" s="1"/>
      <x:c r="E6" s="23"/>
      <x:c r="F6" s="24"/>
      <x:c r="G6" s="1"/>
      <x:c r="H6" s="1"/>
      <x:c r="I6" s="1"/>
      <x:c r="J6" s="23"/>
      <x:c r="K6" s="24"/>
      <x:c r="L6" s="1"/>
      <x:c r="M6" s="1"/>
      <x:c r="N6" s="1"/>
      <x:c r="O6" s="23"/>
      <x:c r="P6" s="1"/>
      <x:c r="Q6" s="1"/>
    </x:row>
    <x:row r="7">
      <x:c r="A7" s="25" t="str">
        <x:v>Immediate recovery plan</x:v>
      </x:c>
      <x:c r="B7" s="26" t="str">
        <x:v>Immediate recovery plan</x:v>
      </x:c>
      <x:c r="C7" s="26" t="str">
        <x:v>Immediate recovery plan</x:v>
      </x:c>
      <x:c r="D7" s="26" t="str">
        <x:v>Immediate recovery plan</x:v>
      </x:c>
      <x:c r="E7" s="27" t="str">
        <x:v>Immediate recovery plan</x:v>
      </x:c>
      <x:c r="F7" s="25" t="str">
        <x:v>Critical + high</x:v>
      </x:c>
      <x:c r="G7" s="26" t="str">
        <x:v>Critical + high</x:v>
      </x:c>
      <x:c r="H7" s="26" t="str">
        <x:v>Critical + high</x:v>
      </x:c>
      <x:c r="I7" s="26" t="str">
        <x:v>Critical + high</x:v>
      </x:c>
      <x:c r="J7" s="27" t="str">
        <x:v>Critical + high</x:v>
      </x:c>
      <x:c r="K7" s="25" t="str">
        <x:v>Target ≥ 80%</x:v>
      </x:c>
      <x:c r="L7" s="26" t="str">
        <x:v>Target ≥ 80%</x:v>
      </x:c>
      <x:c r="M7" s="26" t="str">
        <x:v>Target ≥ 80%</x:v>
      </x:c>
      <x:c r="N7" s="26" t="str">
        <x:v>Target ≥ 80%</x:v>
      </x:c>
      <x:c r="O7" s="27" t="str">
        <x:v>Target ≥ 80%</x:v>
      </x:c>
      <x:c r="P7" s="1"/>
      <x:c r="Q7" s="1"/>
    </x:row>
    <x:row r="8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 ht="26" customHeight="1">
      <x:c r="A26" s="76" t="str">
        <x:v>SCHOOL RECOVERY QUEUE  •  Highest-priority implementation conditions</x:v>
      </x:c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 ht="25" customHeight="1">
      <x:c r="A27" s="80" t="str">
        <x:v>Priority</x:v>
      </x:c>
      <x:c r="B27" s="80" t="str">
        <x:v>School</x:v>
      </x:c>
      <x:c r="C27" s="80" t="str"/>
      <x:c r="D27" s="80" t="str"/>
      <x:c r="E27" s="80" t="str">
        <x:v>District</x:v>
      </x:c>
      <x:c r="F27" s="80" t="str">
        <x:v>Activation</x:v>
      </x:c>
      <x:c r="G27" s="80" t="str">
        <x:v>Dosage</x:v>
      </x:c>
      <x:c r="H27" s="80" t="str">
        <x:v>Follow-up</x:v>
      </x:c>
      <x:c r="I27" s="80" t="str">
        <x:v>Support</x:v>
      </x:c>
      <x:c r="J27" s="80" t="str">
        <x:v>Training</x:v>
      </x:c>
      <x:c r="K27" s="80" t="str">
        <x:v>Fidelity</x:v>
      </x:c>
      <x:c r="L27" s="80" t="str">
        <x:v>Freshness</x:v>
      </x:c>
      <x:c r="M27" s="80" t="str">
        <x:v>Risk</x:v>
      </x:c>
      <x:c r="N27" s="80" t="str">
        <x:v>Band</x:v>
      </x:c>
      <x:c r="O27" s="80" t="str"/>
      <x:c r="P27" s="80" t="str"/>
      <x:c r="Q27" s="80" t="str"/>
    </x:row>
    <x:row r="28" ht="23" customHeight="1">
      <x:c r="A28" s="83" t="str">
        <x:f>'School Risk'!A2</x:f>
        <x:v>1</x:v>
      </x:c>
      <x:c r="B28" s="83" t="str">
        <x:f>'School Risk'!C2</x:f>
        <x:v>Summit Plains School 4</x:v>
      </x:c>
      <x:c r="C28" s="83"/>
      <x:c r="D28" s="83"/>
      <x:c r="E28" s="83" t="str">
        <x:f>'School Risk'!D2</x:f>
        <x:v>D006</x:v>
      </x:c>
      <x:c r="F28" s="88" t="n">
        <x:f>'School Risk'!F2</x:f>
        <x:v>0.77</x:v>
      </x:c>
      <x:c r="G28" s="88" t="n">
        <x:f>'School Risk'!G2</x:f>
        <x:v>0.4967</x:v>
      </x:c>
      <x:c r="H28" s="88" t="n">
        <x:f>'School Risk'!H2</x:f>
        <x:v>0.78</x:v>
      </x:c>
      <x:c r="I28" s="88" t="n">
        <x:f>'School Risk'!I2</x:f>
        <x:v>0.3929</x:v>
      </x:c>
      <x:c r="J28" s="88" t="n">
        <x:f>'School Risk'!J2</x:f>
        <x:v>0.5</x:v>
      </x:c>
      <x:c r="K28" s="83" t="n">
        <x:f>'School Risk'!K2</x:f>
        <x:v>66</x:v>
      </x:c>
      <x:c r="L28" s="83" t="n">
        <x:f>'School Risk'!L2</x:f>
        <x:v>16</x:v>
      </x:c>
      <x:c r="M28" s="83" t="n">
        <x:f>'School Risk'!M2</x:f>
        <x:v>5</x:v>
      </x:c>
      <x:c r="N28" s="83" t="str">
        <x:f>'School Risk'!N2</x:f>
        <x:v>Critical</x:v>
      </x:c>
      <x:c r="O28" s="83"/>
      <x:c r="P28" s="83"/>
      <x:c r="Q28" s="83"/>
    </x:row>
    <x:row r="29" ht="23" customHeight="1">
      <x:c r="A29" s="87" t="str">
        <x:f>'School Risk'!A3</x:f>
        <x:v>2</x:v>
      </x:c>
      <x:c r="B29" s="87" t="str">
        <x:f>'School Risk'!C3</x:f>
        <x:v>Pine Ridge School 2</x:v>
      </x:c>
      <x:c r="C29" s="87"/>
      <x:c r="D29" s="87"/>
      <x:c r="E29" s="87" t="str">
        <x:f>'School Risk'!D3</x:f>
        <x:v>D004</x:v>
      </x:c>
      <x:c r="F29" s="89" t="n">
        <x:f>'School Risk'!F3</x:f>
        <x:v>0.79</x:v>
      </x:c>
      <x:c r="G29" s="89" t="n">
        <x:f>'School Risk'!G3</x:f>
        <x:v>0.5856</x:v>
      </x:c>
      <x:c r="H29" s="89" t="n">
        <x:f>'School Risk'!H3</x:f>
        <x:v>0.87</x:v>
      </x:c>
      <x:c r="I29" s="89" t="n">
        <x:f>'School Risk'!I3</x:f>
        <x:v>0.6316</x:v>
      </x:c>
      <x:c r="J29" s="89" t="n">
        <x:f>'School Risk'!J3</x:f>
        <x:v>0.6923</x:v>
      </x:c>
      <x:c r="K29" s="87" t="n">
        <x:f>'School Risk'!K3</x:f>
        <x:v>67.9</x:v>
      </x:c>
      <x:c r="L29" s="87" t="n">
        <x:f>'School Risk'!L3</x:f>
        <x:v>15</x:v>
      </x:c>
      <x:c r="M29" s="87" t="n">
        <x:f>'School Risk'!M3</x:f>
        <x:v>4</x:v>
      </x:c>
      <x:c r="N29" s="87" t="str">
        <x:f>'School Risk'!N3</x:f>
        <x:v>Critical</x:v>
      </x:c>
      <x:c r="O29" s="87"/>
      <x:c r="P29" s="87"/>
      <x:c r="Q29" s="87"/>
    </x:row>
    <x:row r="30" ht="23" customHeight="1">
      <x:c r="A30" s="83" t="str">
        <x:f>'School Risk'!A4</x:f>
        <x:v>3</x:v>
      </x:c>
      <x:c r="B30" s="83" t="str">
        <x:f>'School Risk'!C4</x:f>
        <x:v>Summit Plains School 3</x:v>
      </x:c>
      <x:c r="C30" s="83"/>
      <x:c r="D30" s="83"/>
      <x:c r="E30" s="83" t="str">
        <x:f>'School Risk'!D4</x:f>
        <x:v>D006</x:v>
      </x:c>
      <x:c r="F30" s="88" t="n">
        <x:f>'School Risk'!F4</x:f>
        <x:v>0.83</x:v>
      </x:c>
      <x:c r="G30" s="88" t="n">
        <x:f>'School Risk'!G4</x:f>
        <x:v>0.51</x:v>
      </x:c>
      <x:c r="H30" s="88" t="n">
        <x:f>'School Risk'!H4</x:f>
        <x:v>0.81</x:v>
      </x:c>
      <x:c r="I30" s="88" t="n">
        <x:f>'School Risk'!I4</x:f>
        <x:v>0.4242</x:v>
      </x:c>
      <x:c r="J30" s="88" t="n">
        <x:f>'School Risk'!J4</x:f>
        <x:v>0.52</x:v>
      </x:c>
      <x:c r="K30" s="83" t="n">
        <x:f>'School Risk'!K4</x:f>
        <x:v>66.9</x:v>
      </x:c>
      <x:c r="L30" s="83" t="n">
        <x:f>'School Risk'!L4</x:f>
        <x:v>15</x:v>
      </x:c>
      <x:c r="M30" s="83" t="n">
        <x:f>'School Risk'!M4</x:f>
        <x:v>4</x:v>
      </x:c>
      <x:c r="N30" s="83" t="str">
        <x:f>'School Risk'!N4</x:f>
        <x:v>Critical</x:v>
      </x:c>
      <x:c r="O30" s="83"/>
      <x:c r="P30" s="83"/>
      <x:c r="Q30" s="83"/>
    </x:row>
    <x:row r="31" ht="23" customHeight="1">
      <x:c r="A31" s="87" t="str">
        <x:f>'School Risk'!A5</x:f>
        <x:v>4</x:v>
      </x:c>
      <x:c r="B31" s="87" t="str">
        <x:f>'School Risk'!C5</x:f>
        <x:v>Summit Plains School 2</x:v>
      </x:c>
      <x:c r="C31" s="87"/>
      <x:c r="D31" s="87"/>
      <x:c r="E31" s="87" t="str">
        <x:f>'School Risk'!D5</x:f>
        <x:v>D006</x:v>
      </x:c>
      <x:c r="F31" s="89" t="n">
        <x:f>'School Risk'!F5</x:f>
        <x:v>0.82</x:v>
      </x:c>
      <x:c r="G31" s="89" t="n">
        <x:f>'School Risk'!G5</x:f>
        <x:v>0.5778</x:v>
      </x:c>
      <x:c r="H31" s="89" t="n">
        <x:f>'School Risk'!H5</x:f>
        <x:v>0.9</x:v>
      </x:c>
      <x:c r="I31" s="89" t="n">
        <x:f>'School Risk'!I5</x:f>
        <x:v>0.5517</x:v>
      </x:c>
      <x:c r="J31" s="89" t="n">
        <x:f>'School Risk'!J5</x:f>
        <x:v>0.625</x:v>
      </x:c>
      <x:c r="K31" s="87" t="n">
        <x:f>'School Risk'!K5</x:f>
        <x:v>77.8</x:v>
      </x:c>
      <x:c r="L31" s="87" t="n">
        <x:f>'School Risk'!L5</x:f>
        <x:v>15</x:v>
      </x:c>
      <x:c r="M31" s="87" t="n">
        <x:f>'School Risk'!M5</x:f>
        <x:v>3</x:v>
      </x:c>
      <x:c r="N31" s="87" t="str">
        <x:f>'School Risk'!N5</x:f>
        <x:v>High</x:v>
      </x:c>
      <x:c r="O31" s="87"/>
      <x:c r="P31" s="87"/>
      <x:c r="Q31" s="87"/>
    </x:row>
    <x:row r="32" ht="23" customHeight="1">
      <x:c r="A32" s="83" t="str">
        <x:f>'School Risk'!A6</x:f>
        <x:v>5</x:v>
      </x:c>
      <x:c r="B32" s="83" t="str">
        <x:f>'School Risk'!C6</x:f>
        <x:v>Pine Ridge School 4</x:v>
      </x:c>
      <x:c r="C32" s="83"/>
      <x:c r="D32" s="83"/>
      <x:c r="E32" s="83" t="str">
        <x:f>'School Risk'!D6</x:f>
        <x:v>D004</x:v>
      </x:c>
      <x:c r="F32" s="88" t="n">
        <x:f>'School Risk'!F6</x:f>
        <x:v>0.87</x:v>
      </x:c>
      <x:c r="G32" s="88" t="n">
        <x:f>'School Risk'!G6</x:f>
        <x:v>0.5578</x:v>
      </x:c>
      <x:c r="H32" s="88" t="n">
        <x:f>'School Risk'!H6</x:f>
        <x:v>0.86</x:v>
      </x:c>
      <x:c r="I32" s="88" t="n">
        <x:f>'School Risk'!I6</x:f>
        <x:v>0.5294</x:v>
      </x:c>
      <x:c r="J32" s="88" t="n">
        <x:f>'School Risk'!J6</x:f>
        <x:v>0.7097</x:v>
      </x:c>
      <x:c r="K32" s="83" t="n">
        <x:f>'School Risk'!K6</x:f>
        <x:v>69.7</x:v>
      </x:c>
      <x:c r="L32" s="83" t="n">
        <x:f>'School Risk'!L6</x:f>
        <x:v>10</x:v>
      </x:c>
      <x:c r="M32" s="83" t="n">
        <x:f>'School Risk'!M6</x:f>
        <x:v>3</x:v>
      </x:c>
      <x:c r="N32" s="83" t="str">
        <x:f>'School Risk'!N6</x:f>
        <x:v>High</x:v>
      </x:c>
      <x:c r="O32" s="83"/>
      <x:c r="P32" s="83"/>
      <x:c r="Q32" s="83"/>
    </x:row>
    <x:row r="33" ht="23" customHeight="1">
      <x:c r="A33" s="87" t="str">
        <x:f>'School Risk'!A7</x:f>
        <x:v>6</x:v>
      </x:c>
      <x:c r="B33" s="87" t="str">
        <x:f>'School Risk'!C7</x:f>
        <x:v>Summit Plains School 1</x:v>
      </x:c>
      <x:c r="C33" s="87"/>
      <x:c r="D33" s="87"/>
      <x:c r="E33" s="87" t="str">
        <x:f>'School Risk'!D7</x:f>
        <x:v>D006</x:v>
      </x:c>
      <x:c r="F33" s="89" t="n">
        <x:f>'School Risk'!F7</x:f>
        <x:v>0.82</x:v>
      </x:c>
      <x:c r="G33" s="89" t="n">
        <x:f>'School Risk'!G7</x:f>
        <x:v>0.5589</x:v>
      </x:c>
      <x:c r="H33" s="89" t="n">
        <x:f>'School Risk'!H7</x:f>
        <x:v>0.83</x:v>
      </x:c>
      <x:c r="I33" s="89" t="n">
        <x:f>'School Risk'!I7</x:f>
        <x:v>0.3333</x:v>
      </x:c>
      <x:c r="J33" s="89" t="n">
        <x:f>'School Risk'!J7</x:f>
        <x:v>0.5909</x:v>
      </x:c>
      <x:c r="K33" s="87" t="n">
        <x:f>'School Risk'!K7</x:f>
        <x:v>70.2</x:v>
      </x:c>
      <x:c r="L33" s="87" t="n">
        <x:f>'School Risk'!L7</x:f>
        <x:v>11</x:v>
      </x:c>
      <x:c r="M33" s="87" t="n">
        <x:f>'School Risk'!M7</x:f>
        <x:v>2</x:v>
      </x:c>
      <x:c r="N33" s="87" t="str">
        <x:f>'School Risk'!N7</x:f>
        <x:v>Watch</x:v>
      </x:c>
      <x:c r="O33" s="87"/>
      <x:c r="P33" s="87"/>
      <x:c r="Q33" s="87"/>
    </x:row>
    <x:row r="34" ht="23" customHeight="1">
      <x:c r="A34" s="83" t="str">
        <x:f>'School Risk'!A8</x:f>
        <x:v>7</x:v>
      </x:c>
      <x:c r="B34" s="83" t="str">
        <x:f>'School Risk'!C8</x:f>
        <x:v>Willow Creek School 3</x:v>
      </x:c>
      <x:c r="C34" s="83"/>
      <x:c r="D34" s="83"/>
      <x:c r="E34" s="83" t="str">
        <x:f>'School Risk'!D8</x:f>
        <x:v>D008</x:v>
      </x:c>
      <x:c r="F34" s="88" t="n">
        <x:f>'School Risk'!F8</x:f>
        <x:v>0.89</x:v>
      </x:c>
      <x:c r="G34" s="88" t="n">
        <x:f>'School Risk'!G8</x:f>
        <x:v>0.6744</x:v>
      </x:c>
      <x:c r="H34" s="88" t="n">
        <x:f>'School Risk'!H8</x:f>
        <x:v>0.91</x:v>
      </x:c>
      <x:c r="I34" s="88" t="n">
        <x:f>'School Risk'!I8</x:f>
        <x:v>0.6316</x:v>
      </x:c>
      <x:c r="J34" s="88" t="n">
        <x:f>'School Risk'!J8</x:f>
        <x:v>0.8</x:v>
      </x:c>
      <x:c r="K34" s="83" t="n">
        <x:f>'School Risk'!K8</x:f>
        <x:v>78.3</x:v>
      </x:c>
      <x:c r="L34" s="83" t="n">
        <x:f>'School Risk'!L8</x:f>
        <x:v>17</x:v>
      </x:c>
      <x:c r="M34" s="83" t="n">
        <x:f>'School Risk'!M8</x:f>
        <x:v>2</x:v>
      </x:c>
      <x:c r="N34" s="83" t="str">
        <x:f>'School Risk'!N8</x:f>
        <x:v>Watch</x:v>
      </x:c>
      <x:c r="O34" s="83"/>
      <x:c r="P34" s="83"/>
      <x:c r="Q34" s="83"/>
    </x:row>
    <x:row r="35" ht="23" customHeight="1">
      <x:c r="A35" s="87" t="str">
        <x:f>'School Risk'!A9</x:f>
        <x:v>8</x:v>
      </x:c>
      <x:c r="B35" s="87" t="str">
        <x:f>'School Risk'!C9</x:f>
        <x:v>Pine Ridge School 3</x:v>
      </x:c>
      <x:c r="C35" s="87"/>
      <x:c r="D35" s="87"/>
      <x:c r="E35" s="87" t="str">
        <x:f>'School Risk'!D9</x:f>
        <x:v>D004</x:v>
      </x:c>
      <x:c r="F35" s="89" t="n">
        <x:f>'School Risk'!F9</x:f>
        <x:v>0.92</x:v>
      </x:c>
      <x:c r="G35" s="89" t="n">
        <x:f>'School Risk'!G9</x:f>
        <x:v>0.5867</x:v>
      </x:c>
      <x:c r="H35" s="89" t="n">
        <x:f>'School Risk'!H9</x:f>
        <x:v>0.86</x:v>
      </x:c>
      <x:c r="I35" s="89" t="n">
        <x:f>'School Risk'!I9</x:f>
        <x:v>0.5909</x:v>
      </x:c>
      <x:c r="J35" s="89" t="n">
        <x:f>'School Risk'!J9</x:f>
        <x:v>0.7241</x:v>
      </x:c>
      <x:c r="K35" s="87" t="n">
        <x:f>'School Risk'!K9</x:f>
        <x:v>77.3</x:v>
      </x:c>
      <x:c r="L35" s="87" t="n">
        <x:f>'School Risk'!L9</x:f>
        <x:v>10</x:v>
      </x:c>
      <x:c r="M35" s="87" t="n">
        <x:f>'School Risk'!M9</x:f>
        <x:v>2</x:v>
      </x:c>
      <x:c r="N35" s="87" t="str">
        <x:f>'School Risk'!N9</x:f>
        <x:v>Watch</x:v>
      </x:c>
      <x:c r="O35" s="87"/>
      <x:c r="P35" s="87"/>
      <x:c r="Q35" s="87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</x:sheetData>
  <x:mergeCells>
    <x:mergeCell ref="A1:Q1"/>
    <x:mergeCell ref="A2:Q2"/>
    <x:mergeCell ref="A4:E4"/>
    <x:mergeCell ref="A5:E6"/>
    <x:mergeCell ref="A7:E7"/>
    <x:mergeCell ref="F4:J4"/>
    <x:mergeCell ref="F5:J6"/>
    <x:mergeCell ref="F7:J7"/>
    <x:mergeCell ref="K4:O4"/>
    <x:mergeCell ref="K5:O6"/>
    <x:mergeCell ref="K7:O7"/>
    <x:mergeCell ref="P4:Q7"/>
    <x:mergeCell ref="A26:Q26"/>
    <x:mergeCell ref="B27:D27"/>
    <x:mergeCell ref="N27:Q27"/>
    <x:mergeCell ref="B28:D28"/>
    <x:mergeCell ref="N28:Q28"/>
    <x:mergeCell ref="B29:D29"/>
    <x:mergeCell ref="N29:Q29"/>
    <x:mergeCell ref="B30:D30"/>
    <x:mergeCell ref="N30:Q30"/>
    <x:mergeCell ref="B31:D31"/>
    <x:mergeCell ref="N31:Q31"/>
    <x:mergeCell ref="B32:D32"/>
    <x:mergeCell ref="N32:Q32"/>
    <x:mergeCell ref="B33:D33"/>
    <x:mergeCell ref="N33:Q33"/>
    <x:mergeCell ref="B34:D34"/>
    <x:mergeCell ref="N34:Q34"/>
    <x:mergeCell ref="B35:D35"/>
    <x:mergeCell ref="N35:Q35"/>
  </x:mergeCells>
  <x:conditionalFormatting sqref="N28:Q35">
    <x:cfRule type="containsText" dxfId="3" priority="1" operator="containsText" text="Critical"/>
    <x:cfRule type="containsText" dxfId="4" priority="2" operator="containsText" text="High"/>
  </x:conditionalFormatting>
  <x:pageMargins left="0.7" right="0.7" top="0.75" bottom="0.75" header="0.3" footer="0.3"/>
  <x:drawing xmlns:r="http://schemas.openxmlformats.org/officeDocument/2006/relationships" r:id="Rdf879fd3a06a4628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</x:cols>
  <x:sheetData>
    <x:row r="1" ht="34" customHeight="1">
      <x:c r="A1" s="4" t="str">
        <x:v>STUDENT SUCCESS OPERATIONS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24" customHeight="1">
      <x:c r="A2" s="7" t="str">
        <x:v>Outcomes and participation  •  Descriptive growth with completeness and segment context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>
      <x:c r="A4" s="32" t="str">
        <x:v>AVERAGE SCORE CHANGE</x:v>
      </x:c>
      <x:c r="B4" s="33" t="str">
        <x:v>AVERAGE SCORE CHANGE</x:v>
      </x:c>
      <x:c r="C4" s="33" t="str">
        <x:v>AVERAGE SCORE CHANGE</x:v>
      </x:c>
      <x:c r="D4" s="33" t="str">
        <x:v>AVERAGE SCORE CHANGE</x:v>
      </x:c>
      <x:c r="E4" s="34" t="str">
        <x:v>AVERAGE SCORE CHANGE</x:v>
      </x:c>
      <x:c r="F4" s="32" t="str">
        <x:v>FOLLOW-UP COMPLETION</x:v>
      </x:c>
      <x:c r="G4" s="33" t="str">
        <x:v>FOLLOW-UP COMPLETION</x:v>
      </x:c>
      <x:c r="H4" s="33" t="str">
        <x:v>FOLLOW-UP COMPLETION</x:v>
      </x:c>
      <x:c r="I4" s="33" t="str">
        <x:v>FOLLOW-UP COMPLETION</x:v>
      </x:c>
      <x:c r="J4" s="34" t="str">
        <x:v>FOLLOW-UP COMPLETION</x:v>
      </x:c>
      <x:c r="K4" s="19" t="str">
        <x:v>SEGMENTS REVIEWED</x:v>
      </x:c>
      <x:c r="L4" s="20" t="str">
        <x:v>SEGMENTS REVIEWED</x:v>
      </x:c>
      <x:c r="M4" s="20" t="str">
        <x:v>SEGMENTS REVIEWED</x:v>
      </x:c>
      <x:c r="N4" s="20" t="str">
        <x:v>SEGMENTS REVIEWED</x:v>
      </x:c>
      <x:c r="O4" s="21" t="str">
        <x:v>SEGMENTS REVIEWED</x:v>
      </x:c>
      <x:c r="P4" s="57" t="str">
        <x:v>CAUTION
Observed score change is descriptive and does not establish impact.</x:v>
      </x:c>
      <x:c r="Q4" s="1"/>
    </x:row>
    <x:row r="5">
      <x:c r="A5" s="39" t="n">
        <x:f>'KPI Data'!F2</x:f>
        <x:v>9.71</x:v>
      </x:c>
      <x:c r="B5" s="1"/>
      <x:c r="C5" s="1"/>
      <x:c r="D5" s="1"/>
      <x:c r="E5" s="23"/>
      <x:c r="F5" s="35" t="n">
        <x:f>'KPI Data'!E2</x:f>
        <x:v>0.8959</x:v>
      </x:c>
      <x:c r="G5" s="1"/>
      <x:c r="H5" s="1"/>
      <x:c r="I5" s="1"/>
      <x:c r="J5" s="23"/>
      <x:c r="K5" s="93" t="n">
        <x:f>COUNTA('Segment Outcomes'!B2:B14)</x:f>
        <x:v>13</x:v>
      </x:c>
      <x:c r="L5" s="1"/>
      <x:c r="M5" s="1"/>
      <x:c r="N5" s="1"/>
      <x:c r="O5" s="23"/>
      <x:c r="P5" s="1"/>
      <x:c r="Q5" s="1"/>
    </x:row>
    <x:row r="6">
      <x:c r="A6" s="24"/>
      <x:c r="B6" s="1"/>
      <x:c r="C6" s="1"/>
      <x:c r="D6" s="1"/>
      <x:c r="E6" s="23"/>
      <x:c r="F6" s="24"/>
      <x:c r="G6" s="1"/>
      <x:c r="H6" s="1"/>
      <x:c r="I6" s="1"/>
      <x:c r="J6" s="23"/>
      <x:c r="K6" s="24"/>
      <x:c r="L6" s="1"/>
      <x:c r="M6" s="1"/>
      <x:c r="N6" s="1"/>
      <x:c r="O6" s="23"/>
      <x:c r="P6" s="1"/>
      <x:c r="Q6" s="1"/>
    </x:row>
    <x:row r="7">
      <x:c r="A7" s="25" t="str">
        <x:v>Students with paired scores</x:v>
      </x:c>
      <x:c r="B7" s="26" t="str">
        <x:v>Students with paired scores</x:v>
      </x:c>
      <x:c r="C7" s="26" t="str">
        <x:v>Students with paired scores</x:v>
      </x:c>
      <x:c r="D7" s="26" t="str">
        <x:v>Students with paired scores</x:v>
      </x:c>
      <x:c r="E7" s="27" t="str">
        <x:v>Students with paired scores</x:v>
      </x:c>
      <x:c r="F7" s="25" t="str">
        <x:v>Target ≥ 80%</x:v>
      </x:c>
      <x:c r="G7" s="26" t="str">
        <x:v>Target ≥ 80%</x:v>
      </x:c>
      <x:c r="H7" s="26" t="str">
        <x:v>Target ≥ 80%</x:v>
      </x:c>
      <x:c r="I7" s="26" t="str">
        <x:v>Target ≥ 80%</x:v>
      </x:c>
      <x:c r="J7" s="27" t="str">
        <x:v>Target ≥ 80%</x:v>
      </x:c>
      <x:c r="K7" s="25" t="str">
        <x:v>Grade, locale, implementation tier</x:v>
      </x:c>
      <x:c r="L7" s="26" t="str">
        <x:v>Grade, locale, implementation tier</x:v>
      </x:c>
      <x:c r="M7" s="26" t="str">
        <x:v>Grade, locale, implementation tier</x:v>
      </x:c>
      <x:c r="N7" s="26" t="str">
        <x:v>Grade, locale, implementation tier</x:v>
      </x:c>
      <x:c r="O7" s="27" t="str">
        <x:v>Grade, locale, implementation tier</x:v>
      </x:c>
      <x:c r="P7" s="1"/>
      <x:c r="Q7" s="1"/>
    </x:row>
    <x:row r="8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 ht="26" customHeight="1">
      <x:c r="A27" s="76" t="str">
        <x:v>SEGMENT REVIEW  •  Sample size, completeness, baseline, follow-up, and descriptive change</x:v>
      </x:c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 ht="25" customHeight="1">
      <x:c r="A28" s="80" t="str">
        <x:v>Dimension</x:v>
      </x:c>
      <x:c r="B28" s="80" t="str"/>
      <x:c r="C28" s="80" t="str">
        <x:v>Segment</x:v>
      </x:c>
      <x:c r="D28" s="80" t="str"/>
      <x:c r="E28" s="80" t="str"/>
      <x:c r="F28" s="80" t="str">
        <x:v>Students</x:v>
      </x:c>
      <x:c r="G28" s="80" t="str">
        <x:v>Follow-up</x:v>
      </x:c>
      <x:c r="H28" s="80" t="str">
        <x:v>Baseline</x:v>
      </x:c>
      <x:c r="I28" s="80" t="str">
        <x:v>Follow-up score</x:v>
      </x:c>
      <x:c r="J28" s="80" t="str">
        <x:v>Change</x:v>
      </x:c>
      <x:c r="K28" s="80" t="str"/>
      <x:c r="L28" s="80" t="str"/>
      <x:c r="M28" s="80" t="str"/>
      <x:c r="N28" s="80" t="str"/>
      <x:c r="O28" s="80" t="str"/>
      <x:c r="P28" s="80" t="str"/>
      <x:c r="Q28" s="80" t="str"/>
    </x:row>
    <x:row r="29" ht="23" customHeight="1">
      <x:c r="A29" s="83" t="str">
        <x:f>'Segment Outcomes'!A2</x:f>
        <x:v>District locale</x:v>
      </x:c>
      <x:c r="B29" s="83"/>
      <x:c r="C29" s="83" t="str">
        <x:f>'Segment Outcomes'!B2</x:f>
        <x:v>Rural</x:v>
      </x:c>
      <x:c r="D29" s="83"/>
      <x:c r="E29" s="83"/>
      <x:c r="F29" s="83" t="n">
        <x:f>'Segment Outcomes'!C2</x:f>
        <x:v>800</x:v>
      </x:c>
      <x:c r="G29" s="88" t="n">
        <x:f>'Segment Outcomes'!D2</x:f>
        <x:v>0.8525</x:v>
      </x:c>
      <x:c r="H29" s="94" t="n">
        <x:f>'Segment Outcomes'!E2</x:f>
        <x:v>49.99</x:v>
      </x:c>
      <x:c r="I29" s="94" t="n">
        <x:f>'Segment Outcomes'!F2</x:f>
        <x:v>58.79</x:v>
      </x:c>
      <x:c r="J29" s="94" t="n">
        <x:f>'Segment Outcomes'!G2</x:f>
        <x:v>8.81</x:v>
      </x:c>
      <x:c r="K29" s="83"/>
      <x:c r="L29" s="83"/>
      <x:c r="M29" s="83"/>
      <x:c r="N29" s="83"/>
      <x:c r="O29" s="83"/>
      <x:c r="P29" s="83"/>
      <x:c r="Q29" s="83"/>
    </x:row>
    <x:row r="30" ht="23" customHeight="1">
      <x:c r="A30" s="87" t="str">
        <x:f>'Segment Outcomes'!A3</x:f>
        <x:v>District locale</x:v>
      </x:c>
      <x:c r="B30" s="87"/>
      <x:c r="C30" s="87" t="str">
        <x:f>'Segment Outcomes'!B3</x:f>
        <x:v>Suburban</x:v>
      </x:c>
      <x:c r="D30" s="87"/>
      <x:c r="E30" s="87"/>
      <x:c r="F30" s="87" t="n">
        <x:f>'Segment Outcomes'!C3</x:f>
        <x:v>800</x:v>
      </x:c>
      <x:c r="G30" s="89" t="n">
        <x:f>'Segment Outcomes'!D3</x:f>
        <x:v>0.935</x:v>
      </x:c>
      <x:c r="H30" s="95" t="n">
        <x:f>'Segment Outcomes'!E3</x:f>
        <x:v>50.71</x:v>
      </x:c>
      <x:c r="I30" s="95" t="n">
        <x:f>'Segment Outcomes'!F3</x:f>
        <x:v>61.5</x:v>
      </x:c>
      <x:c r="J30" s="95" t="n">
        <x:f>'Segment Outcomes'!G3</x:f>
        <x:v>10.83</x:v>
      </x:c>
      <x:c r="K30" s="87"/>
      <x:c r="L30" s="87"/>
      <x:c r="M30" s="87"/>
      <x:c r="N30" s="87"/>
      <x:c r="O30" s="87"/>
      <x:c r="P30" s="87"/>
      <x:c r="Q30" s="87"/>
    </x:row>
    <x:row r="31" ht="23" customHeight="1">
      <x:c r="A31" s="83" t="str">
        <x:f>'Segment Outcomes'!A4</x:f>
        <x:v>District locale</x:v>
      </x:c>
      <x:c r="B31" s="83"/>
      <x:c r="C31" s="83" t="str">
        <x:f>'Segment Outcomes'!B4</x:f>
        <x:v>Town</x:v>
      </x:c>
      <x:c r="D31" s="83"/>
      <x:c r="E31" s="83"/>
      <x:c r="F31" s="83" t="n">
        <x:f>'Segment Outcomes'!C4</x:f>
        <x:v>800</x:v>
      </x:c>
      <x:c r="G31" s="88" t="n">
        <x:f>'Segment Outcomes'!D4</x:f>
        <x:v>0.8812</x:v>
      </x:c>
      <x:c r="H31" s="94" t="n">
        <x:f>'Segment Outcomes'!E4</x:f>
        <x:v>50.66</x:v>
      </x:c>
      <x:c r="I31" s="94" t="n">
        <x:f>'Segment Outcomes'!F4</x:f>
        <x:v>59.68</x:v>
      </x:c>
      <x:c r="J31" s="94" t="n">
        <x:f>'Segment Outcomes'!G4</x:f>
        <x:v>9.03</x:v>
      </x:c>
      <x:c r="K31" s="83"/>
      <x:c r="L31" s="83"/>
      <x:c r="M31" s="83"/>
      <x:c r="N31" s="83"/>
      <x:c r="O31" s="83"/>
      <x:c r="P31" s="83"/>
      <x:c r="Q31" s="83"/>
    </x:row>
    <x:row r="32" ht="23" customHeight="1">
      <x:c r="A32" s="87" t="str">
        <x:f>'Segment Outcomes'!A5</x:f>
        <x:v>District locale</x:v>
      </x:c>
      <x:c r="B32" s="87"/>
      <x:c r="C32" s="87" t="str">
        <x:f>'Segment Outcomes'!B5</x:f>
        <x:v>Urban</x:v>
      </x:c>
      <x:c r="D32" s="87"/>
      <x:c r="E32" s="87"/>
      <x:c r="F32" s="87" t="n">
        <x:f>'Segment Outcomes'!C5</x:f>
        <x:v>800</x:v>
      </x:c>
      <x:c r="G32" s="89" t="n">
        <x:f>'Segment Outcomes'!D5</x:f>
        <x:v>0.915</x:v>
      </x:c>
      <x:c r="H32" s="95" t="n">
        <x:f>'Segment Outcomes'!E5</x:f>
        <x:v>50.12</x:v>
      </x:c>
      <x:c r="I32" s="95" t="n">
        <x:f>'Segment Outcomes'!F5</x:f>
        <x:v>60.12</x:v>
      </x:c>
      <x:c r="J32" s="95" t="n">
        <x:f>'Segment Outcomes'!G5</x:f>
        <x:v>10.07</x:v>
      </x:c>
      <x:c r="K32" s="87"/>
      <x:c r="L32" s="87"/>
      <x:c r="M32" s="87"/>
      <x:c r="N32" s="87"/>
      <x:c r="O32" s="87"/>
      <x:c r="P32" s="87"/>
      <x:c r="Q32" s="87"/>
    </x:row>
    <x:row r="33" ht="23" customHeight="1">
      <x:c r="A33" s="83" t="str">
        <x:f>'Segment Outcomes'!A6</x:f>
        <x:v>Grade level</x:v>
      </x:c>
      <x:c r="B33" s="83"/>
      <x:c r="C33" s="83" t="str">
        <x:f>'Segment Outcomes'!B6</x:f>
        <x:v>Grade 3</x:v>
      </x:c>
      <x:c r="D33" s="83"/>
      <x:c r="E33" s="83"/>
      <x:c r="F33" s="83" t="n">
        <x:f>'Segment Outcomes'!C6</x:f>
        <x:v>536</x:v>
      </x:c>
      <x:c r="G33" s="88" t="n">
        <x:f>'Segment Outcomes'!D6</x:f>
        <x:v>0.9086</x:v>
      </x:c>
      <x:c r="H33" s="94" t="n">
        <x:f>'Segment Outcomes'!E6</x:f>
        <x:v>46.69</x:v>
      </x:c>
      <x:c r="I33" s="94" t="n">
        <x:f>'Segment Outcomes'!F6</x:f>
        <x:v>56.35</x:v>
      </x:c>
      <x:c r="J33" s="94" t="n">
        <x:f>'Segment Outcomes'!G6</x:f>
        <x:v>9.6</x:v>
      </x:c>
      <x:c r="K33" s="83"/>
      <x:c r="L33" s="83"/>
      <x:c r="M33" s="83"/>
      <x:c r="N33" s="83"/>
      <x:c r="O33" s="83"/>
      <x:c r="P33" s="83"/>
      <x:c r="Q33" s="83"/>
    </x:row>
    <x:row r="34" ht="23" customHeight="1">
      <x:c r="A34" s="87" t="str">
        <x:f>'Segment Outcomes'!A7</x:f>
        <x:v>Grade level</x:v>
      </x:c>
      <x:c r="B34" s="87"/>
      <x:c r="C34" s="87" t="str">
        <x:f>'Segment Outcomes'!B7</x:f>
        <x:v>Grade 4</x:v>
      </x:c>
      <x:c r="D34" s="87"/>
      <x:c r="E34" s="87"/>
      <x:c r="F34" s="87" t="n">
        <x:f>'Segment Outcomes'!C7</x:f>
        <x:v>545</x:v>
      </x:c>
      <x:c r="G34" s="89" t="n">
        <x:f>'Segment Outcomes'!D7</x:f>
        <x:v>0.8972</x:v>
      </x:c>
      <x:c r="H34" s="95" t="n">
        <x:f>'Segment Outcomes'!E7</x:f>
        <x:v>49.43</x:v>
      </x:c>
      <x:c r="I34" s="95" t="n">
        <x:f>'Segment Outcomes'!F7</x:f>
        <x:v>59.45</x:v>
      </x:c>
      <x:c r="J34" s="95" t="n">
        <x:f>'Segment Outcomes'!G7</x:f>
        <x:v>9.99</x:v>
      </x:c>
      <x:c r="K34" s="87"/>
      <x:c r="L34" s="87"/>
      <x:c r="M34" s="87"/>
      <x:c r="N34" s="87"/>
      <x:c r="O34" s="87"/>
      <x:c r="P34" s="87"/>
      <x:c r="Q34" s="87"/>
    </x:row>
    <x:row r="35" ht="23" customHeight="1">
      <x:c r="A35" s="83" t="str">
        <x:f>'Segment Outcomes'!A8</x:f>
        <x:v>Grade level</x:v>
      </x:c>
      <x:c r="B35" s="83"/>
      <x:c r="C35" s="83" t="str">
        <x:f>'Segment Outcomes'!B8</x:f>
        <x:v>Grade 5</x:v>
      </x:c>
      <x:c r="D35" s="83"/>
      <x:c r="E35" s="83"/>
      <x:c r="F35" s="83" t="n">
        <x:f>'Segment Outcomes'!C8</x:f>
        <x:v>519</x:v>
      </x:c>
      <x:c r="G35" s="88" t="n">
        <x:f>'Segment Outcomes'!D8</x:f>
        <x:v>0.8921</x:v>
      </x:c>
      <x:c r="H35" s="94" t="n">
        <x:f>'Segment Outcomes'!E8</x:f>
        <x:v>49.96</x:v>
      </x:c>
      <x:c r="I35" s="94" t="n">
        <x:f>'Segment Outcomes'!F8</x:f>
        <x:v>59.77</x:v>
      </x:c>
      <x:c r="J35" s="94" t="n">
        <x:f>'Segment Outcomes'!G8</x:f>
        <x:v>9.86</x:v>
      </x:c>
      <x:c r="K35" s="83"/>
      <x:c r="L35" s="83"/>
      <x:c r="M35" s="83"/>
      <x:c r="N35" s="83"/>
      <x:c r="O35" s="83"/>
      <x:c r="P35" s="83"/>
      <x:c r="Q35" s="83"/>
    </x:row>
    <x:row r="36" ht="23" customHeight="1">
      <x:c r="A36" s="87" t="str">
        <x:f>'Segment Outcomes'!A9</x:f>
        <x:v>Grade level</x:v>
      </x:c>
      <x:c r="B36" s="87"/>
      <x:c r="C36" s="87" t="str">
        <x:f>'Segment Outcomes'!B9</x:f>
        <x:v>Grade 6</x:v>
      </x:c>
      <x:c r="D36" s="87"/>
      <x:c r="E36" s="87"/>
      <x:c r="F36" s="87" t="n">
        <x:f>'Segment Outcomes'!C9</x:f>
        <x:v>530</x:v>
      </x:c>
      <x:c r="G36" s="89" t="n">
        <x:f>'Segment Outcomes'!D9</x:f>
        <x:v>0.9113</x:v>
      </x:c>
      <x:c r="H36" s="95" t="n">
        <x:f>'Segment Outcomes'!E9</x:f>
        <x:v>50.57</x:v>
      </x:c>
      <x:c r="I36" s="95" t="n">
        <x:f>'Segment Outcomes'!F9</x:f>
        <x:v>60.27</x:v>
      </x:c>
      <x:c r="J36" s="95" t="n">
        <x:f>'Segment Outcomes'!G9</x:f>
        <x:v>9.68</x:v>
      </x:c>
      <x:c r="K36" s="87"/>
      <x:c r="L36" s="87"/>
      <x:c r="M36" s="87"/>
      <x:c r="N36" s="87"/>
      <x:c r="O36" s="87"/>
      <x:c r="P36" s="87"/>
      <x:c r="Q36" s="87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>
      <x:c r="A38" s="99" t="str">
        <x:v>INTERPRETATION NOTE  •  Grade, locale, and implementation-tier comparisons retain sample size and follow-up completeness beside score change. The synthetic design contains no untreated counterfactual, so segment comparisons should not be read as causal effects.</x:v>
      </x:c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</x:sheetData>
  <x:mergeCells>
    <x:mergeCell ref="A1:Q1"/>
    <x:mergeCell ref="A2:Q2"/>
    <x:mergeCell ref="A4:E4"/>
    <x:mergeCell ref="A5:E6"/>
    <x:mergeCell ref="A7:E7"/>
    <x:mergeCell ref="F4:J4"/>
    <x:mergeCell ref="F5:J6"/>
    <x:mergeCell ref="F7:J7"/>
    <x:mergeCell ref="K4:O4"/>
    <x:mergeCell ref="K5:O6"/>
    <x:mergeCell ref="K7:O7"/>
    <x:mergeCell ref="P4:Q7"/>
    <x:mergeCell ref="A27:Q27"/>
    <x:mergeCell ref="A28:B28"/>
    <x:mergeCell ref="C28:E28"/>
    <x:mergeCell ref="J28:Q28"/>
    <x:mergeCell ref="A29:B29"/>
    <x:mergeCell ref="C29:E29"/>
    <x:mergeCell ref="J29:Q29"/>
    <x:mergeCell ref="A30:B30"/>
    <x:mergeCell ref="C30:E30"/>
    <x:mergeCell ref="J30:Q30"/>
    <x:mergeCell ref="A31:B31"/>
    <x:mergeCell ref="C31:E31"/>
    <x:mergeCell ref="J31:Q31"/>
    <x:mergeCell ref="A32:B32"/>
    <x:mergeCell ref="C32:E32"/>
    <x:mergeCell ref="J32:Q32"/>
    <x:mergeCell ref="A33:B33"/>
    <x:mergeCell ref="C33:E33"/>
    <x:mergeCell ref="J33:Q33"/>
    <x:mergeCell ref="A34:B34"/>
    <x:mergeCell ref="C34:E34"/>
    <x:mergeCell ref="J34:Q34"/>
    <x:mergeCell ref="A35:B35"/>
    <x:mergeCell ref="C35:E35"/>
    <x:mergeCell ref="J35:Q35"/>
    <x:mergeCell ref="A36:B36"/>
    <x:mergeCell ref="C36:E36"/>
    <x:mergeCell ref="J36:Q36"/>
    <x:mergeCell ref="A38:Q40"/>
  </x:mergeCells>
  <x:pageMargins left="0.7" right="0.7" top="0.75" bottom="0.75" header="0.3" footer="0.3"/>
  <x:drawing xmlns:r="http://schemas.openxmlformats.org/officeDocument/2006/relationships" r:id="Ra7eff5c915624ad1"/>
</x:worksheet>
</file>